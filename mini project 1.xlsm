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sl.localhost\Ubuntu-22.04\home\mahaputra971\project_digital_skola\mini_project_1_data_automation\"/>
    </mc:Choice>
  </mc:AlternateContent>
  <xr:revisionPtr revIDLastSave="0" documentId="13_ncr:1_{0A13A6C6-9F03-4175-A791-9A856E05ED52}" xr6:coauthVersionLast="47" xr6:coauthVersionMax="47" xr10:uidLastSave="{00000000-0000-0000-0000-000000000000}"/>
  <bookViews>
    <workbookView xWindow="-120" yWindow="-120" windowWidth="29040" windowHeight="16440" activeTab="4" xr2:uid="{00000000-000D-0000-FFFF-FFFF00000000}"/>
  </bookViews>
  <sheets>
    <sheet name="Input_Data " sheetId="1" r:id="rId1"/>
    <sheet name="Data_Pegawai" sheetId="2" r:id="rId2"/>
    <sheet name="Hasil_Tugas_Optional" sheetId="31" r:id="rId3"/>
    <sheet name="Database Pegawai" sheetId="5" r:id="rId4"/>
    <sheet name="Form_Entry" sheetId="3" r:id="rId5"/>
    <sheet name="Laporan Kehadiran Macros" sheetId="49" r:id="rId6"/>
    <sheet name="PQ1" sheetId="6" r:id="rId7"/>
    <sheet name="Laporan" sheetId="4" r:id="rId8"/>
  </sheets>
  <functionGroups builtInGroupCount="19"/>
  <definedNames>
    <definedName name="ExternalData_1" localSheetId="2" hidden="1">Hasil_Tugas_Optional!$A$1:$H$274</definedName>
    <definedName name="ExternalData_1" localSheetId="6" hidden="1">'PQ1'!$A$1:$I$55</definedName>
    <definedName name="tb_data_pegawai">Table7[#All]</definedName>
    <definedName name="tb_database_pegawai">Table9[#All]</definedName>
    <definedName name="tb_form_entry">Table8[#All]</definedName>
    <definedName name="tb_input_data">Table6[#All]</definedName>
  </definedNames>
  <calcPr calcId="181029"/>
  <pivotCaches>
    <pivotCache cacheId="0" r:id="rId9"/>
  </pivotCaches>
</workbook>
</file>

<file path=xl/calcChain.xml><?xml version="1.0" encoding="utf-8"?>
<calcChain xmlns="http://schemas.openxmlformats.org/spreadsheetml/2006/main">
  <c r="F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G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AFC065A-68EA-4CDD-BFAD-E433B8B46841}" keepAlive="1" name="Query - PQ1" description="Connection to the 'PQ1' query in the workbook." type="5" refreshedVersion="7" background="1" refreshOnLoad="1" saveData="1">
    <dbPr connection="Provider=Microsoft.Mashup.OleDb.1;Data Source=$Workbook$;Location=Table1;Extended Properties=&quot;&quot;" command="SELECT * FROM [Table1]"/>
  </connection>
  <connection id="2" xr16:uid="{F478FE51-347A-437F-8034-44A14ADFB608}" keepAlive="1" name="Query - Table3" description="Connection to the 'Table3' query in the workbook." type="5" refreshedVersion="7" background="1" saveData="1">
    <dbPr connection="Provider=Microsoft.Mashup.OleDb.1;Data Source=$Workbook$;Location=Table3;Extended Properties=&quot;&quot;" command="SELECT * FROM [Table3]"/>
  </connection>
  <connection id="3" xr16:uid="{703BECBD-F37D-43CC-994D-DCABBD5E1F23}" keepAlive="1" name="Query - Table5" description="Connection to the 'Table5' query in the workbook." type="5" refreshedVersion="0" background="1">
    <dbPr connection="Provider=Microsoft.Mashup.OleDb.1;Data Source=$Workbook$;Location=Table5;Extended Properties=&quot;&quot;" command="SELECT * FROM [Table5]"/>
  </connection>
</connections>
</file>

<file path=xl/sharedStrings.xml><?xml version="1.0" encoding="utf-8"?>
<sst xmlns="http://schemas.openxmlformats.org/spreadsheetml/2006/main" count="2199" uniqueCount="182">
  <si>
    <t>NIP</t>
  </si>
  <si>
    <t>Tanggal</t>
  </si>
  <si>
    <t>Jam Masuk</t>
  </si>
  <si>
    <t>Jam Pulang</t>
  </si>
  <si>
    <t>Catatan</t>
  </si>
  <si>
    <t>EMP001</t>
  </si>
  <si>
    <t>EMP002</t>
  </si>
  <si>
    <t>EMP004</t>
  </si>
  <si>
    <t>EMP005</t>
  </si>
  <si>
    <t>EMP006</t>
  </si>
  <si>
    <t>EMP007</t>
  </si>
  <si>
    <t>EMP009</t>
  </si>
  <si>
    <t>EMP010</t>
  </si>
  <si>
    <t>EMP003</t>
  </si>
  <si>
    <t>EMP008</t>
  </si>
  <si>
    <t>01/07/2025</t>
  </si>
  <si>
    <t>02/07/2025</t>
  </si>
  <si>
    <t>03/07/2025</t>
  </si>
  <si>
    <t>04/07/2025</t>
  </si>
  <si>
    <t>05/07/2025</t>
  </si>
  <si>
    <t>06/07/2025</t>
  </si>
  <si>
    <t>07/07/2025</t>
  </si>
  <si>
    <t>08/07/2025</t>
  </si>
  <si>
    <t>09/07/2025</t>
  </si>
  <si>
    <t>10/07/2025</t>
  </si>
  <si>
    <t>11/07/2025</t>
  </si>
  <si>
    <t>12/07/2025</t>
  </si>
  <si>
    <t>13/07/2025</t>
  </si>
  <si>
    <t>14/07/2025</t>
  </si>
  <si>
    <t>15/07/2025</t>
  </si>
  <si>
    <t>16/07/2025</t>
  </si>
  <si>
    <t>17/07/2025</t>
  </si>
  <si>
    <t>18/07/2025</t>
  </si>
  <si>
    <t>19/07/2025</t>
  </si>
  <si>
    <t>20/07/2025</t>
  </si>
  <si>
    <t>21/07/2025</t>
  </si>
  <si>
    <t>22/07/2025</t>
  </si>
  <si>
    <t>23/07/2025</t>
  </si>
  <si>
    <t>24/07/2025</t>
  </si>
  <si>
    <t>25/07/2025</t>
  </si>
  <si>
    <t>26/07/2025</t>
  </si>
  <si>
    <t>27/07/2025</t>
  </si>
  <si>
    <t>28/07/2025</t>
  </si>
  <si>
    <t>29/07/2025</t>
  </si>
  <si>
    <t>30/07/2025</t>
  </si>
  <si>
    <t>31/07/2025</t>
  </si>
  <si>
    <t>07:46</t>
  </si>
  <si>
    <t>07:59</t>
  </si>
  <si>
    <t>07:45</t>
  </si>
  <si>
    <t>07:53</t>
  </si>
  <si>
    <t>08:05</t>
  </si>
  <si>
    <t>08:03</t>
  </si>
  <si>
    <t>08:00</t>
  </si>
  <si>
    <t>08:15</t>
  </si>
  <si>
    <t>08:13</t>
  </si>
  <si>
    <t>07:48</t>
  </si>
  <si>
    <t>07:50</t>
  </si>
  <si>
    <t>08:12</t>
  </si>
  <si>
    <t>07:51</t>
  </si>
  <si>
    <t>07:55</t>
  </si>
  <si>
    <t>08:02</t>
  </si>
  <si>
    <t>07:54</t>
  </si>
  <si>
    <t>08:04</t>
  </si>
  <si>
    <t>07:57</t>
  </si>
  <si>
    <t>08:06</t>
  </si>
  <si>
    <t>07:49</t>
  </si>
  <si>
    <t>08:01</t>
  </si>
  <si>
    <t>07:58</t>
  </si>
  <si>
    <t>08:11</t>
  </si>
  <si>
    <t>07:56</t>
  </si>
  <si>
    <t>07:52</t>
  </si>
  <si>
    <t>08:08</t>
  </si>
  <si>
    <t>08:14</t>
  </si>
  <si>
    <t>08:07</t>
  </si>
  <si>
    <t>08:09</t>
  </si>
  <si>
    <t>07:47</t>
  </si>
  <si>
    <t>08:10</t>
  </si>
  <si>
    <t>17:24</t>
  </si>
  <si>
    <t>17:26</t>
  </si>
  <si>
    <t>16:55</t>
  </si>
  <si>
    <t>16:47</t>
  </si>
  <si>
    <t>16:57</t>
  </si>
  <si>
    <t>17:19</t>
  </si>
  <si>
    <t>17:16</t>
  </si>
  <si>
    <t>17:12</t>
  </si>
  <si>
    <t>17:18</t>
  </si>
  <si>
    <t>17:30</t>
  </si>
  <si>
    <t>16:50</t>
  </si>
  <si>
    <t>16:43</t>
  </si>
  <si>
    <t>17:28</t>
  </si>
  <si>
    <t>16:46</t>
  </si>
  <si>
    <t>16:31</t>
  </si>
  <si>
    <t>17:03</t>
  </si>
  <si>
    <t>16:30</t>
  </si>
  <si>
    <t>16:44</t>
  </si>
  <si>
    <t>16:40</t>
  </si>
  <si>
    <t>16:32</t>
  </si>
  <si>
    <t>17:06</t>
  </si>
  <si>
    <t>17:17</t>
  </si>
  <si>
    <t>17:25</t>
  </si>
  <si>
    <t>16:36</t>
  </si>
  <si>
    <t>16:33</t>
  </si>
  <si>
    <t>17:21</t>
  </si>
  <si>
    <t>17:09</t>
  </si>
  <si>
    <t>16:42</t>
  </si>
  <si>
    <t>17:07</t>
  </si>
  <si>
    <t>17:04</t>
  </si>
  <si>
    <t>16:48</t>
  </si>
  <si>
    <t>16:34</t>
  </si>
  <si>
    <t>16:51</t>
  </si>
  <si>
    <t>16:53</t>
  </si>
  <si>
    <t>16:59</t>
  </si>
  <si>
    <t>17:00</t>
  </si>
  <si>
    <t>17:13</t>
  </si>
  <si>
    <t>17:20</t>
  </si>
  <si>
    <t>17:02</t>
  </si>
  <si>
    <t>16:37</t>
  </si>
  <si>
    <t>17:22</t>
  </si>
  <si>
    <t>17:11</t>
  </si>
  <si>
    <t>16:35</t>
  </si>
  <si>
    <t>17:01</t>
  </si>
  <si>
    <t>17:27</t>
  </si>
  <si>
    <t>17:15</t>
  </si>
  <si>
    <t>16:56</t>
  </si>
  <si>
    <t>17:23</t>
  </si>
  <si>
    <t>16:58</t>
  </si>
  <si>
    <t>16:52</t>
  </si>
  <si>
    <t>17:29</t>
  </si>
  <si>
    <t>17:05</t>
  </si>
  <si>
    <t>16:38</t>
  </si>
  <si>
    <t>16:45</t>
  </si>
  <si>
    <t>16:39</t>
  </si>
  <si>
    <t>17:14</t>
  </si>
  <si>
    <t>16:41</t>
  </si>
  <si>
    <t>16:54</t>
  </si>
  <si>
    <t>17:10</t>
  </si>
  <si>
    <t>16:49</t>
  </si>
  <si>
    <t>Nama</t>
  </si>
  <si>
    <t>Jabatan</t>
  </si>
  <si>
    <t>Pegawai 1</t>
  </si>
  <si>
    <t>Pegawai 2</t>
  </si>
  <si>
    <t>Pegawai 3</t>
  </si>
  <si>
    <t>Pegawai 4</t>
  </si>
  <si>
    <t>Pegawai 5</t>
  </si>
  <si>
    <t>Pegawai 6</t>
  </si>
  <si>
    <t>Pegawai 7</t>
  </si>
  <si>
    <t>Pegawai 8</t>
  </si>
  <si>
    <t>Pegawai 9</t>
  </si>
  <si>
    <t>Pegawai 10</t>
  </si>
  <si>
    <t>Admin</t>
  </si>
  <si>
    <t>Staff</t>
  </si>
  <si>
    <t>Manager</t>
  </si>
  <si>
    <t>Nama Pegawai</t>
  </si>
  <si>
    <t>Total Jam Kerja</t>
  </si>
  <si>
    <t>Total Hari Masuk</t>
  </si>
  <si>
    <t>Durasi Jam Kerja</t>
  </si>
  <si>
    <t>NIP001</t>
  </si>
  <si>
    <t>NIP002</t>
  </si>
  <si>
    <t>NIP003</t>
  </si>
  <si>
    <t>NIP004</t>
  </si>
  <si>
    <t>NIP005</t>
  </si>
  <si>
    <t>NIP006</t>
  </si>
  <si>
    <t>NIP007</t>
  </si>
  <si>
    <t>Ayunda Risu</t>
  </si>
  <si>
    <t>Kobo Kanaeru</t>
  </si>
  <si>
    <t>Moona Hoshinova</t>
  </si>
  <si>
    <t>Vestia Zeta</t>
  </si>
  <si>
    <t>Kaela Kovalskia</t>
  </si>
  <si>
    <t>Kureiji Ollie</t>
  </si>
  <si>
    <t>Anya Melfisa</t>
  </si>
  <si>
    <t>Data Scientist</t>
  </si>
  <si>
    <t>Cyber Security</t>
  </si>
  <si>
    <t>Data Engineer</t>
  </si>
  <si>
    <t>HR Manager</t>
  </si>
  <si>
    <t>FE Engineer</t>
  </si>
  <si>
    <t>BE Engineer</t>
  </si>
  <si>
    <t>Marketing Spesialist</t>
  </si>
  <si>
    <t>Durasi (Hour)</t>
  </si>
  <si>
    <t>Grand Total</t>
  </si>
  <si>
    <t>Jumlah Kehadiran</t>
  </si>
  <si>
    <t>Table5.Nama</t>
  </si>
  <si>
    <t>Table5.Jabatan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</si>
</sst>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3809]dd/mm/yyyy;@"/>
    <numFmt numFmtId="165" formatCode="[$-13809]h:mm;@"/>
    <numFmt numFmtId="166" formatCode="[$-13809]hh:mm:ss;@"/>
    <numFmt numFmtId="167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166" fontId="0" fillId="0" borderId="0" xfId="0" applyNumberFormat="1"/>
    <xf numFmtId="0" fontId="0" fillId="0" borderId="0" xfId="0" pivotButton="1"/>
    <xf numFmtId="14" fontId="0" fillId="0" borderId="0" xfId="0" applyNumberFormat="1"/>
    <xf numFmtId="167" fontId="0" fillId="0" borderId="0" xfId="0" applyNumberFormat="1"/>
    <xf numFmtId="0" fontId="1" fillId="0" borderId="2" xfId="0" applyFont="1" applyBorder="1" applyAlignment="1">
      <alignment horizontal="center" vertical="top"/>
    </xf>
  </cellXfs>
  <cellStyles count="1">
    <cellStyle name="Normal" xfId="0" builtinId="0"/>
  </cellStyles>
  <dxfs count="20">
    <dxf>
      <numFmt numFmtId="0" formatCode="General"/>
    </dxf>
    <dxf>
      <numFmt numFmtId="0" formatCode="General"/>
    </dxf>
    <dxf>
      <numFmt numFmtId="167" formatCode="[$-F400]h:mm:ss\ AM/PM"/>
    </dxf>
    <dxf>
      <numFmt numFmtId="167" formatCode="[$-F400]h:mm:ss\ AM/PM"/>
    </dxf>
    <dxf>
      <numFmt numFmtId="19" formatCode="dd/mm/yyyy"/>
    </dxf>
    <dxf>
      <numFmt numFmtId="0" formatCode="General"/>
    </dxf>
    <dxf>
      <numFmt numFmtId="0" formatCode="General"/>
    </dxf>
    <dxf>
      <numFmt numFmtId="166" formatCode="[$-13809]hh:mm:ss;@"/>
    </dxf>
    <dxf>
      <numFmt numFmtId="0" formatCode="General"/>
    </dxf>
    <dxf>
      <numFmt numFmtId="0" formatCode="General"/>
    </dxf>
    <dxf>
      <numFmt numFmtId="166" formatCode="[$-13809]hh:mm:ss;@"/>
    </dxf>
    <dxf>
      <numFmt numFmtId="166" formatCode="[$-13809]hh:mm:ss;@"/>
    </dxf>
    <dxf>
      <numFmt numFmtId="27" formatCode="dd/mm/yyyy\ hh:mm"/>
    </dxf>
    <dxf>
      <numFmt numFmtId="0" formatCode="General"/>
    </dxf>
    <dxf>
      <numFmt numFmtId="165" formatCode="[$-13809]h:mm;@"/>
    </dxf>
    <dxf>
      <numFmt numFmtId="165" formatCode="[$-13809]h:mm;@"/>
    </dxf>
    <dxf>
      <numFmt numFmtId="164" formatCode="[$-13809]dd/mm/yyyy;@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 G3" refreshedDate="45883.840520601851" createdVersion="3" refreshedVersion="7" minRefreshableVersion="3" recordCount="55" xr:uid="{FEB4B314-9762-44A2-B334-530FA0C90EF5}">
  <cacheSource type="worksheet">
    <worksheetSource ref="A1:I1048576" sheet="PQ1"/>
  </cacheSource>
  <cacheFields count="9">
    <cacheField name="NIP" numFmtId="0">
      <sharedItems containsBlank="1" count="8">
        <s v="NIP001"/>
        <s v="NIP005"/>
        <s v="NIP004"/>
        <s v="NIP006"/>
        <s v="NIP003"/>
        <s v="NIP002"/>
        <s v="NIP007"/>
        <m/>
      </sharedItems>
    </cacheField>
    <cacheField name="Tanggal" numFmtId="22">
      <sharedItems containsNonDate="0" containsDate="1" containsString="0" containsBlank="1" minDate="2025-07-29T00:00:00" maxDate="2025-09-11T00:00:00" count="33">
        <d v="2025-08-02T00:00:00"/>
        <d v="2025-08-01T00:00:00"/>
        <d v="2025-08-20T00:00:00"/>
        <d v="2025-08-29T00:00:00"/>
        <d v="2025-08-22T00:00:00"/>
        <d v="2025-08-03T00:00:00"/>
        <d v="2025-08-25T00:00:00"/>
        <d v="2025-08-12T00:00:00"/>
        <d v="2025-09-01T00:00:00"/>
        <d v="2025-08-10T00:00:00"/>
        <d v="2025-08-27T00:00:00"/>
        <d v="2025-08-21T00:00:00"/>
        <d v="2025-09-08T00:00:00"/>
        <d v="2025-09-04T00:00:00"/>
        <d v="2025-08-19T00:00:00"/>
        <d v="2025-09-03T00:00:00"/>
        <d v="2025-09-06T00:00:00"/>
        <d v="2025-09-10T00:00:00"/>
        <d v="2025-07-30T00:00:00"/>
        <d v="2025-07-29T00:00:00"/>
        <d v="2025-07-31T00:00:00"/>
        <d v="2025-08-14T00:00:00"/>
        <d v="2025-09-05T00:00:00"/>
        <d v="2025-08-13T00:00:00"/>
        <d v="2025-09-07T00:00:00"/>
        <d v="2025-08-28T00:00:00"/>
        <d v="2025-08-06T00:00:00"/>
        <d v="2025-08-30T00:00:00"/>
        <d v="2025-08-11T00:00:00"/>
        <d v="2025-08-09T00:00:00"/>
        <d v="2025-08-24T00:00:00"/>
        <d v="2025-09-09T00:00:00"/>
        <m/>
      </sharedItems>
    </cacheField>
    <cacheField name="Jam Masuk" numFmtId="166">
      <sharedItems containsNonDate="0" containsDate="1" containsString="0" containsBlank="1" minDate="1899-12-30T08:00:18" maxDate="1899-12-30T09:55:13" count="52">
        <d v="1899-12-30T08:53:10"/>
        <d v="1899-12-30T08:07:43"/>
        <d v="1899-12-30T09:14:24"/>
        <d v="1899-12-30T09:31:21"/>
        <d v="1899-12-30T09:48:01"/>
        <d v="1899-12-30T09:29:02"/>
        <d v="1899-12-30T09:37:53"/>
        <d v="1899-12-30T08:09:24"/>
        <d v="1899-12-30T08:14:40"/>
        <d v="1899-12-30T08:34:03"/>
        <d v="1899-12-30T09:55:13"/>
        <d v="1899-12-30T08:24:57"/>
        <d v="1899-12-30T08:35:51"/>
        <d v="1899-12-30T09:05:13"/>
        <d v="1899-12-30T08:00:18"/>
        <d v="1899-12-30T08:03:59"/>
        <d v="1899-12-30T09:24:58"/>
        <d v="1899-12-30T08:02:04"/>
        <d v="1899-12-30T09:19:45"/>
        <d v="1899-12-30T09:32:46"/>
        <d v="1899-12-30T08:21:50"/>
        <d v="1899-12-30T08:46:08"/>
        <d v="1899-12-30T09:48:51"/>
        <d v="1899-12-30T09:46:43"/>
        <d v="1899-12-30T09:09:47"/>
        <d v="1899-12-30T08:27:09"/>
        <d v="1899-12-30T08:19:42"/>
        <d v="1899-12-30T08:59:03"/>
        <d v="1899-12-30T08:43:03"/>
        <d v="1899-12-30T09:14:07"/>
        <d v="1899-12-30T08:02:08"/>
        <d v="1899-12-30T08:53:02"/>
        <d v="1899-12-30T08:27:57"/>
        <d v="1899-12-30T08:57:48"/>
        <d v="1899-12-30T09:39:08"/>
        <d v="1899-12-30T09:43:33"/>
        <d v="1899-12-30T09:17:46"/>
        <d v="1899-12-30T08:24:14"/>
        <d v="1899-12-30T08:36:30"/>
        <d v="1899-12-30T09:42:47"/>
        <d v="1899-12-30T09:52:08"/>
        <d v="1899-12-30T08:16:16"/>
        <d v="1899-12-30T08:57:21"/>
        <d v="1899-12-30T08:07:55"/>
        <d v="1899-12-30T08:29:49"/>
        <d v="1899-12-30T09:12:44"/>
        <d v="1899-12-30T08:47:17"/>
        <d v="1899-12-30T08:12:13"/>
        <d v="1899-12-30T08:33:26"/>
        <d v="1899-12-30T08:06:51"/>
        <d v="1899-12-30T08:56:48"/>
        <m/>
      </sharedItems>
    </cacheField>
    <cacheField name="Jam Pulang" numFmtId="166">
      <sharedItems containsNonDate="0" containsDate="1" containsString="0" containsBlank="1" minDate="1899-12-30T10:07:25" maxDate="1899-12-30T17:51:06" count="52">
        <d v="1899-12-30T16:53:50"/>
        <d v="1899-12-30T16:35:25"/>
        <d v="1899-12-30T15:54:57"/>
        <d v="1899-12-30T14:31:55"/>
        <d v="1899-12-30T11:37:04"/>
        <d v="1899-12-30T14:21:44"/>
        <d v="1899-12-30T13:55:29"/>
        <d v="1899-12-30T10:43:36"/>
        <d v="1899-12-30T17:34:03"/>
        <d v="1899-12-30T16:59:57"/>
        <d v="1899-12-30T12:12:20"/>
        <d v="1899-12-30T11:30:15"/>
        <d v="1899-12-30T14:55:23"/>
        <d v="1899-12-30T12:40:08"/>
        <d v="1899-12-30T10:46:09"/>
        <d v="1899-12-30T10:33:35"/>
        <d v="1899-12-30T16:03:01"/>
        <d v="1899-12-30T17:16:23"/>
        <d v="1899-12-30T13:05:41"/>
        <d v="1899-12-30T16:17:40"/>
        <d v="1899-12-30T10:48:14"/>
        <d v="1899-12-30T14:18:45"/>
        <d v="1899-12-30T12:23:01"/>
        <d v="1899-12-30T16:47:49"/>
        <d v="1899-12-30T17:12:23"/>
        <d v="1899-12-30T11:49:19"/>
        <d v="1899-12-30T16:43:20"/>
        <d v="1899-12-30T13:30:30"/>
        <d v="1899-12-30T17:51:06"/>
        <d v="1899-12-30T10:28:07"/>
        <d v="1899-12-30T14:29:17"/>
        <d v="1899-12-30T17:27:27"/>
        <d v="1899-12-30T13:04:41"/>
        <d v="1899-12-30T15:50:29"/>
        <d v="1899-12-30T13:32:14"/>
        <d v="1899-12-30T15:28:31"/>
        <d v="1899-12-30T17:06:44"/>
        <d v="1899-12-30T12:01:34"/>
        <d v="1899-12-30T14:20:00"/>
        <d v="1899-12-30T15:59:56"/>
        <d v="1899-12-30T13:19:46"/>
        <d v="1899-12-30T13:54:58"/>
        <d v="1899-12-30T13:02:23"/>
        <d v="1899-12-30T10:07:25"/>
        <d v="1899-12-30T14:17:24"/>
        <d v="1899-12-30T13:20:28"/>
        <d v="1899-12-30T14:02:38"/>
        <d v="1899-12-30T11:03:18"/>
        <d v="1899-12-30T14:58:59"/>
        <d v="1899-12-30T11:49:11"/>
        <d v="1899-12-30T11:29:53"/>
        <m/>
      </sharedItems>
    </cacheField>
    <cacheField name="Catatan" numFmtId="0">
      <sharedItems containsNonDate="0" containsString="0" containsBlank="1" count="1">
        <m/>
      </sharedItems>
    </cacheField>
    <cacheField name="Nama Pegawai" numFmtId="0">
      <sharedItems containsBlank="1" count="8">
        <s v="Kobo Kanaeru"/>
        <s v="Moona Hoshinova"/>
        <s v="Ayunda Risu"/>
        <s v="Kureiji Ollie"/>
        <s v="Kaela Kovalskia"/>
        <s v="Vestia Zeta"/>
        <s v="Anya Melfisa"/>
        <m/>
      </sharedItems>
    </cacheField>
    <cacheField name="Jabatan" numFmtId="0">
      <sharedItems containsBlank="1" count="8">
        <s v="Data Scientist"/>
        <s v="FE Engineer"/>
        <s v="HR Manager"/>
        <s v="BE Engineer"/>
        <s v="Data Engineer"/>
        <s v="Cyber Security"/>
        <s v="Marketing Spesialist"/>
        <m/>
      </sharedItems>
    </cacheField>
    <cacheField name="Durasi Jam Kerja" numFmtId="166">
      <sharedItems containsNonDate="0" containsDate="1" containsString="0" containsBlank="1" minDate="1899-12-30T01:14:00" maxDate="1899-12-30T09:19:24" count="52">
        <d v="1899-12-30T08:00:40"/>
        <d v="1899-12-30T08:27:42"/>
        <d v="1899-12-30T06:40:33"/>
        <d v="1899-12-30T05:00:34"/>
        <d v="1899-12-30T01:49:03"/>
        <d v="1899-12-30T04:52:42"/>
        <d v="1899-12-30T04:17:37"/>
        <d v="1899-12-30T02:34:12"/>
        <d v="1899-12-30T09:19:24"/>
        <d v="1899-12-30T08:25:54"/>
        <d v="1899-12-30T02:17:06"/>
        <d v="1899-12-30T03:05:17"/>
        <d v="1899-12-30T06:19:33"/>
        <d v="1899-12-30T03:34:55"/>
        <d v="1899-12-30T02:45:51"/>
        <d v="1899-12-30T02:29:36"/>
        <d v="1899-12-30T06:38:04"/>
        <d v="1899-12-30T09:14:18"/>
        <d v="1899-12-30T03:45:56"/>
        <d v="1899-12-30T06:44:55"/>
        <d v="1899-12-30T02:26:25"/>
        <d v="1899-12-30T05:32:38"/>
        <d v="1899-12-30T02:34:11"/>
        <d v="1899-12-30T07:01:06"/>
        <d v="1899-12-30T08:02:36"/>
        <d v="1899-12-30T03:22:11"/>
        <d v="1899-12-30T08:23:38"/>
        <d v="1899-12-30T04:31:27"/>
        <d v="1899-12-30T09:08:03"/>
        <d v="1899-12-30T01:14:00"/>
        <d v="1899-12-30T06:27:09"/>
        <d v="1899-12-30T08:34:24"/>
        <d v="1899-12-30T04:36:44"/>
        <d v="1899-12-30T06:52:40"/>
        <d v="1899-12-30T03:53:06"/>
        <d v="1899-12-30T05:44:58"/>
        <d v="1899-12-30T07:48:58"/>
        <d v="1899-12-30T03:37:20"/>
        <d v="1899-12-30T05:43:31"/>
        <d v="1899-12-30T06:17:09"/>
        <d v="1899-12-30T03:27:38"/>
        <d v="1899-12-30T05:38:42"/>
        <d v="1899-12-30T04:05:02"/>
        <d v="1899-12-30T01:59:30"/>
        <d v="1899-12-30T05:47:35"/>
        <d v="1899-12-30T04:07:44"/>
        <d v="1899-12-30T05:15:20"/>
        <d v="1899-12-30T02:51:06"/>
        <d v="1899-12-30T06:25:33"/>
        <d v="1899-12-30T03:42:20"/>
        <d v="1899-12-30T02:33:04"/>
        <m/>
      </sharedItems>
    </cacheField>
    <cacheField name="Durasi (Hour)" numFmtId="0">
      <sharedItems containsString="0" containsBlank="1" containsNumber="1" minValue="1.2" maxValue="9.3000000000000007" count="43">
        <n v="8"/>
        <n v="8.5"/>
        <n v="6.7"/>
        <n v="5"/>
        <n v="1.8"/>
        <n v="4.9000000000000004"/>
        <n v="4.3"/>
        <n v="2.6"/>
        <n v="9.3000000000000007"/>
        <n v="8.4"/>
        <n v="2.2999999999999998"/>
        <n v="3.1"/>
        <n v="6.3"/>
        <n v="3.6"/>
        <n v="2.8"/>
        <n v="2.5"/>
        <n v="6.6"/>
        <n v="9.1999999999999993"/>
        <n v="3.8"/>
        <n v="2.4"/>
        <n v="5.5"/>
        <n v="7"/>
        <n v="3.4"/>
        <n v="4.5"/>
        <n v="9.1"/>
        <n v="1.2"/>
        <n v="6.5"/>
        <n v="8.6"/>
        <n v="4.5999999999999996"/>
        <n v="6.9"/>
        <n v="3.9"/>
        <n v="5.7"/>
        <n v="7.8"/>
        <n v="3.5"/>
        <n v="5.6"/>
        <n v="4.0999999999999996"/>
        <n v="2"/>
        <n v="5.8"/>
        <n v="5.3"/>
        <n v="2.9"/>
        <n v="6.4"/>
        <n v="3.7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x v="0"/>
    <x v="0"/>
    <x v="0"/>
    <x v="0"/>
    <x v="0"/>
    <x v="0"/>
    <x v="0"/>
    <x v="0"/>
    <x v="0"/>
  </r>
  <r>
    <x v="1"/>
    <x v="1"/>
    <x v="1"/>
    <x v="1"/>
    <x v="0"/>
    <x v="1"/>
    <x v="1"/>
    <x v="1"/>
    <x v="1"/>
  </r>
  <r>
    <x v="2"/>
    <x v="2"/>
    <x v="2"/>
    <x v="2"/>
    <x v="0"/>
    <x v="2"/>
    <x v="2"/>
    <x v="2"/>
    <x v="2"/>
  </r>
  <r>
    <x v="3"/>
    <x v="3"/>
    <x v="3"/>
    <x v="3"/>
    <x v="0"/>
    <x v="3"/>
    <x v="3"/>
    <x v="3"/>
    <x v="3"/>
  </r>
  <r>
    <x v="4"/>
    <x v="4"/>
    <x v="4"/>
    <x v="4"/>
    <x v="0"/>
    <x v="4"/>
    <x v="4"/>
    <x v="4"/>
    <x v="4"/>
  </r>
  <r>
    <x v="5"/>
    <x v="5"/>
    <x v="5"/>
    <x v="5"/>
    <x v="0"/>
    <x v="5"/>
    <x v="5"/>
    <x v="5"/>
    <x v="5"/>
  </r>
  <r>
    <x v="3"/>
    <x v="6"/>
    <x v="6"/>
    <x v="6"/>
    <x v="0"/>
    <x v="3"/>
    <x v="3"/>
    <x v="6"/>
    <x v="6"/>
  </r>
  <r>
    <x v="1"/>
    <x v="7"/>
    <x v="7"/>
    <x v="7"/>
    <x v="0"/>
    <x v="1"/>
    <x v="1"/>
    <x v="7"/>
    <x v="7"/>
  </r>
  <r>
    <x v="0"/>
    <x v="8"/>
    <x v="8"/>
    <x v="8"/>
    <x v="0"/>
    <x v="0"/>
    <x v="0"/>
    <x v="8"/>
    <x v="8"/>
  </r>
  <r>
    <x v="4"/>
    <x v="9"/>
    <x v="9"/>
    <x v="9"/>
    <x v="0"/>
    <x v="4"/>
    <x v="4"/>
    <x v="9"/>
    <x v="9"/>
  </r>
  <r>
    <x v="4"/>
    <x v="9"/>
    <x v="10"/>
    <x v="10"/>
    <x v="0"/>
    <x v="4"/>
    <x v="4"/>
    <x v="10"/>
    <x v="10"/>
  </r>
  <r>
    <x v="4"/>
    <x v="10"/>
    <x v="11"/>
    <x v="11"/>
    <x v="0"/>
    <x v="4"/>
    <x v="4"/>
    <x v="11"/>
    <x v="11"/>
  </r>
  <r>
    <x v="6"/>
    <x v="11"/>
    <x v="12"/>
    <x v="12"/>
    <x v="0"/>
    <x v="6"/>
    <x v="6"/>
    <x v="12"/>
    <x v="12"/>
  </r>
  <r>
    <x v="0"/>
    <x v="12"/>
    <x v="13"/>
    <x v="13"/>
    <x v="0"/>
    <x v="0"/>
    <x v="0"/>
    <x v="13"/>
    <x v="13"/>
  </r>
  <r>
    <x v="3"/>
    <x v="13"/>
    <x v="14"/>
    <x v="14"/>
    <x v="0"/>
    <x v="3"/>
    <x v="3"/>
    <x v="14"/>
    <x v="14"/>
  </r>
  <r>
    <x v="4"/>
    <x v="14"/>
    <x v="15"/>
    <x v="15"/>
    <x v="0"/>
    <x v="4"/>
    <x v="4"/>
    <x v="15"/>
    <x v="15"/>
  </r>
  <r>
    <x v="1"/>
    <x v="15"/>
    <x v="16"/>
    <x v="16"/>
    <x v="0"/>
    <x v="1"/>
    <x v="1"/>
    <x v="16"/>
    <x v="16"/>
  </r>
  <r>
    <x v="3"/>
    <x v="16"/>
    <x v="17"/>
    <x v="17"/>
    <x v="0"/>
    <x v="3"/>
    <x v="3"/>
    <x v="17"/>
    <x v="17"/>
  </r>
  <r>
    <x v="3"/>
    <x v="6"/>
    <x v="18"/>
    <x v="18"/>
    <x v="0"/>
    <x v="3"/>
    <x v="3"/>
    <x v="18"/>
    <x v="18"/>
  </r>
  <r>
    <x v="5"/>
    <x v="17"/>
    <x v="19"/>
    <x v="19"/>
    <x v="0"/>
    <x v="5"/>
    <x v="5"/>
    <x v="19"/>
    <x v="2"/>
  </r>
  <r>
    <x v="0"/>
    <x v="3"/>
    <x v="20"/>
    <x v="20"/>
    <x v="0"/>
    <x v="0"/>
    <x v="0"/>
    <x v="20"/>
    <x v="19"/>
  </r>
  <r>
    <x v="6"/>
    <x v="8"/>
    <x v="21"/>
    <x v="21"/>
    <x v="0"/>
    <x v="6"/>
    <x v="6"/>
    <x v="21"/>
    <x v="20"/>
  </r>
  <r>
    <x v="2"/>
    <x v="18"/>
    <x v="22"/>
    <x v="22"/>
    <x v="0"/>
    <x v="2"/>
    <x v="2"/>
    <x v="22"/>
    <x v="7"/>
  </r>
  <r>
    <x v="6"/>
    <x v="19"/>
    <x v="23"/>
    <x v="23"/>
    <x v="0"/>
    <x v="6"/>
    <x v="6"/>
    <x v="23"/>
    <x v="21"/>
  </r>
  <r>
    <x v="3"/>
    <x v="19"/>
    <x v="24"/>
    <x v="24"/>
    <x v="0"/>
    <x v="3"/>
    <x v="3"/>
    <x v="24"/>
    <x v="0"/>
  </r>
  <r>
    <x v="5"/>
    <x v="20"/>
    <x v="25"/>
    <x v="25"/>
    <x v="0"/>
    <x v="5"/>
    <x v="5"/>
    <x v="25"/>
    <x v="22"/>
  </r>
  <r>
    <x v="3"/>
    <x v="12"/>
    <x v="26"/>
    <x v="26"/>
    <x v="0"/>
    <x v="3"/>
    <x v="3"/>
    <x v="26"/>
    <x v="9"/>
  </r>
  <r>
    <x v="6"/>
    <x v="14"/>
    <x v="27"/>
    <x v="27"/>
    <x v="0"/>
    <x v="6"/>
    <x v="6"/>
    <x v="27"/>
    <x v="23"/>
  </r>
  <r>
    <x v="2"/>
    <x v="6"/>
    <x v="28"/>
    <x v="28"/>
    <x v="0"/>
    <x v="2"/>
    <x v="2"/>
    <x v="28"/>
    <x v="24"/>
  </r>
  <r>
    <x v="6"/>
    <x v="17"/>
    <x v="29"/>
    <x v="29"/>
    <x v="0"/>
    <x v="6"/>
    <x v="6"/>
    <x v="29"/>
    <x v="25"/>
  </r>
  <r>
    <x v="3"/>
    <x v="7"/>
    <x v="30"/>
    <x v="30"/>
    <x v="0"/>
    <x v="3"/>
    <x v="3"/>
    <x v="30"/>
    <x v="26"/>
  </r>
  <r>
    <x v="0"/>
    <x v="21"/>
    <x v="31"/>
    <x v="31"/>
    <x v="0"/>
    <x v="0"/>
    <x v="0"/>
    <x v="31"/>
    <x v="27"/>
  </r>
  <r>
    <x v="1"/>
    <x v="22"/>
    <x v="32"/>
    <x v="32"/>
    <x v="0"/>
    <x v="1"/>
    <x v="1"/>
    <x v="32"/>
    <x v="28"/>
  </r>
  <r>
    <x v="4"/>
    <x v="1"/>
    <x v="33"/>
    <x v="33"/>
    <x v="0"/>
    <x v="4"/>
    <x v="4"/>
    <x v="33"/>
    <x v="29"/>
  </r>
  <r>
    <x v="4"/>
    <x v="12"/>
    <x v="34"/>
    <x v="34"/>
    <x v="0"/>
    <x v="4"/>
    <x v="4"/>
    <x v="34"/>
    <x v="30"/>
  </r>
  <r>
    <x v="3"/>
    <x v="23"/>
    <x v="35"/>
    <x v="35"/>
    <x v="0"/>
    <x v="3"/>
    <x v="3"/>
    <x v="35"/>
    <x v="31"/>
  </r>
  <r>
    <x v="2"/>
    <x v="24"/>
    <x v="36"/>
    <x v="36"/>
    <x v="0"/>
    <x v="2"/>
    <x v="2"/>
    <x v="36"/>
    <x v="32"/>
  </r>
  <r>
    <x v="0"/>
    <x v="20"/>
    <x v="37"/>
    <x v="37"/>
    <x v="0"/>
    <x v="0"/>
    <x v="0"/>
    <x v="37"/>
    <x v="13"/>
  </r>
  <r>
    <x v="4"/>
    <x v="25"/>
    <x v="38"/>
    <x v="38"/>
    <x v="0"/>
    <x v="4"/>
    <x v="4"/>
    <x v="38"/>
    <x v="31"/>
  </r>
  <r>
    <x v="4"/>
    <x v="21"/>
    <x v="39"/>
    <x v="39"/>
    <x v="0"/>
    <x v="4"/>
    <x v="4"/>
    <x v="39"/>
    <x v="12"/>
  </r>
  <r>
    <x v="0"/>
    <x v="12"/>
    <x v="40"/>
    <x v="40"/>
    <x v="0"/>
    <x v="0"/>
    <x v="0"/>
    <x v="40"/>
    <x v="33"/>
  </r>
  <r>
    <x v="4"/>
    <x v="26"/>
    <x v="41"/>
    <x v="41"/>
    <x v="0"/>
    <x v="4"/>
    <x v="4"/>
    <x v="41"/>
    <x v="34"/>
  </r>
  <r>
    <x v="1"/>
    <x v="27"/>
    <x v="42"/>
    <x v="42"/>
    <x v="0"/>
    <x v="1"/>
    <x v="1"/>
    <x v="42"/>
    <x v="35"/>
  </r>
  <r>
    <x v="6"/>
    <x v="28"/>
    <x v="43"/>
    <x v="43"/>
    <x v="0"/>
    <x v="6"/>
    <x v="6"/>
    <x v="43"/>
    <x v="36"/>
  </r>
  <r>
    <x v="5"/>
    <x v="29"/>
    <x v="44"/>
    <x v="44"/>
    <x v="0"/>
    <x v="5"/>
    <x v="5"/>
    <x v="44"/>
    <x v="37"/>
  </r>
  <r>
    <x v="6"/>
    <x v="30"/>
    <x v="45"/>
    <x v="45"/>
    <x v="0"/>
    <x v="6"/>
    <x v="6"/>
    <x v="45"/>
    <x v="35"/>
  </r>
  <r>
    <x v="6"/>
    <x v="31"/>
    <x v="46"/>
    <x v="46"/>
    <x v="0"/>
    <x v="6"/>
    <x v="6"/>
    <x v="46"/>
    <x v="38"/>
  </r>
  <r>
    <x v="2"/>
    <x v="4"/>
    <x v="47"/>
    <x v="47"/>
    <x v="0"/>
    <x v="2"/>
    <x v="2"/>
    <x v="47"/>
    <x v="39"/>
  </r>
  <r>
    <x v="4"/>
    <x v="17"/>
    <x v="48"/>
    <x v="48"/>
    <x v="0"/>
    <x v="4"/>
    <x v="4"/>
    <x v="48"/>
    <x v="40"/>
  </r>
  <r>
    <x v="5"/>
    <x v="20"/>
    <x v="49"/>
    <x v="49"/>
    <x v="0"/>
    <x v="5"/>
    <x v="5"/>
    <x v="49"/>
    <x v="41"/>
  </r>
  <r>
    <x v="0"/>
    <x v="1"/>
    <x v="50"/>
    <x v="50"/>
    <x v="0"/>
    <x v="0"/>
    <x v="0"/>
    <x v="50"/>
    <x v="7"/>
  </r>
  <r>
    <x v="7"/>
    <x v="32"/>
    <x v="51"/>
    <x v="51"/>
    <x v="0"/>
    <x v="7"/>
    <x v="7"/>
    <x v="51"/>
    <x v="42"/>
  </r>
  <r>
    <x v="7"/>
    <x v="32"/>
    <x v="51"/>
    <x v="51"/>
    <x v="0"/>
    <x v="7"/>
    <x v="7"/>
    <x v="51"/>
    <x v="42"/>
  </r>
  <r>
    <x v="7"/>
    <x v="32"/>
    <x v="51"/>
    <x v="51"/>
    <x v="0"/>
    <x v="7"/>
    <x v="7"/>
    <x v="51"/>
    <x v="42"/>
  </r>
  <r>
    <x v="7"/>
    <x v="32"/>
    <x v="51"/>
    <x v="51"/>
    <x v="0"/>
    <x v="7"/>
    <x v="7"/>
    <x v="51"/>
    <x v="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7BAC9B-385A-41DA-A0CD-5CFF4801C6DA}" name="PivotTable2" cacheId="0" applyNumberFormats="0" applyBorderFormats="0" applyFontFormats="0" applyPatternFormats="0" applyAlignmentFormats="0" applyWidthHeightFormats="1" dataCaption="Values" updatedVersion="7" minRefreshableVersion="3" asteriskTotals="1" showCalcMbrs="0" showMemberPropertyTips="0" useAutoFormatting="1" pageOverThenDown="1" itemPrintTitles="1" createdVersion="3" indent="0" compact="0" compactData="0" multipleFieldFilters="0">
  <location ref="A3:D11" firstHeaderRow="0" firstDataRow="1" firstDataCol="2"/>
  <pivotFields count="9">
    <pivotField axis="axisRow" compact="0" outline="0" showAll="0" defaultSubtotal="0">
      <items count="8">
        <item x="0"/>
        <item x="5"/>
        <item x="4"/>
        <item x="2"/>
        <item x="1"/>
        <item x="3"/>
        <item x="6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3">
        <item x="19"/>
        <item x="18"/>
        <item x="20"/>
        <item x="1"/>
        <item x="0"/>
        <item x="5"/>
        <item x="26"/>
        <item x="29"/>
        <item x="9"/>
        <item x="28"/>
        <item x="7"/>
        <item x="23"/>
        <item x="21"/>
        <item x="14"/>
        <item x="2"/>
        <item x="11"/>
        <item x="4"/>
        <item x="30"/>
        <item x="6"/>
        <item x="10"/>
        <item x="25"/>
        <item x="3"/>
        <item x="27"/>
        <item x="8"/>
        <item x="15"/>
        <item x="13"/>
        <item x="22"/>
        <item x="16"/>
        <item x="24"/>
        <item x="12"/>
        <item x="31"/>
        <item x="17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2">
        <item x="14"/>
        <item x="17"/>
        <item x="30"/>
        <item x="15"/>
        <item x="49"/>
        <item x="1"/>
        <item x="43"/>
        <item x="7"/>
        <item x="47"/>
        <item x="8"/>
        <item x="41"/>
        <item x="26"/>
        <item x="20"/>
        <item x="37"/>
        <item x="11"/>
        <item x="25"/>
        <item x="32"/>
        <item x="44"/>
        <item x="48"/>
        <item x="9"/>
        <item x="12"/>
        <item x="38"/>
        <item x="28"/>
        <item x="21"/>
        <item x="46"/>
        <item x="31"/>
        <item x="0"/>
        <item x="50"/>
        <item x="42"/>
        <item x="33"/>
        <item x="27"/>
        <item x="13"/>
        <item x="24"/>
        <item x="45"/>
        <item x="29"/>
        <item x="2"/>
        <item x="36"/>
        <item x="18"/>
        <item x="16"/>
        <item x="5"/>
        <item x="3"/>
        <item x="19"/>
        <item x="6"/>
        <item x="34"/>
        <item x="39"/>
        <item x="35"/>
        <item x="23"/>
        <item x="4"/>
        <item x="22"/>
        <item x="40"/>
        <item x="10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2">
        <item x="43"/>
        <item x="29"/>
        <item x="15"/>
        <item x="7"/>
        <item x="14"/>
        <item x="20"/>
        <item x="47"/>
        <item x="50"/>
        <item x="11"/>
        <item x="4"/>
        <item x="49"/>
        <item x="25"/>
        <item x="37"/>
        <item x="10"/>
        <item x="22"/>
        <item x="13"/>
        <item x="42"/>
        <item x="32"/>
        <item x="18"/>
        <item x="40"/>
        <item x="45"/>
        <item x="27"/>
        <item x="34"/>
        <item x="41"/>
        <item x="6"/>
        <item x="46"/>
        <item x="44"/>
        <item x="21"/>
        <item x="38"/>
        <item x="5"/>
        <item x="30"/>
        <item x="3"/>
        <item x="12"/>
        <item x="48"/>
        <item x="35"/>
        <item x="33"/>
        <item x="2"/>
        <item x="39"/>
        <item x="16"/>
        <item x="19"/>
        <item x="1"/>
        <item x="26"/>
        <item x="23"/>
        <item x="0"/>
        <item x="9"/>
        <item x="36"/>
        <item x="24"/>
        <item x="17"/>
        <item x="31"/>
        <item x="8"/>
        <item x="28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6"/>
        <item x="2"/>
        <item x="4"/>
        <item x="0"/>
        <item x="3"/>
        <item x="1"/>
        <item x="5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3"/>
        <item x="5"/>
        <item x="4"/>
        <item x="0"/>
        <item x="1"/>
        <item x="2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2">
        <item x="29"/>
        <item x="4"/>
        <item x="43"/>
        <item x="10"/>
        <item x="20"/>
        <item x="15"/>
        <item x="50"/>
        <item x="22"/>
        <item x="7"/>
        <item x="14"/>
        <item x="47"/>
        <item x="11"/>
        <item x="25"/>
        <item x="40"/>
        <item x="13"/>
        <item x="37"/>
        <item x="49"/>
        <item x="18"/>
        <item x="34"/>
        <item x="42"/>
        <item x="45"/>
        <item x="6"/>
        <item x="27"/>
        <item x="32"/>
        <item x="5"/>
        <item x="3"/>
        <item x="46"/>
        <item x="21"/>
        <item x="41"/>
        <item x="38"/>
        <item x="35"/>
        <item x="44"/>
        <item x="39"/>
        <item x="12"/>
        <item x="48"/>
        <item x="30"/>
        <item x="16"/>
        <item x="2"/>
        <item x="19"/>
        <item x="33"/>
        <item x="23"/>
        <item x="36"/>
        <item x="0"/>
        <item x="24"/>
        <item x="26"/>
        <item x="9"/>
        <item x="1"/>
        <item x="31"/>
        <item x="28"/>
        <item x="17"/>
        <item x="8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3">
        <item x="25"/>
        <item x="4"/>
        <item x="36"/>
        <item x="10"/>
        <item x="19"/>
        <item x="15"/>
        <item x="7"/>
        <item x="14"/>
        <item x="39"/>
        <item x="11"/>
        <item x="22"/>
        <item x="33"/>
        <item x="13"/>
        <item x="41"/>
        <item x="18"/>
        <item x="30"/>
        <item x="35"/>
        <item x="6"/>
        <item x="23"/>
        <item x="28"/>
        <item x="5"/>
        <item x="3"/>
        <item x="38"/>
        <item x="20"/>
        <item x="34"/>
        <item x="31"/>
        <item x="37"/>
        <item x="12"/>
        <item x="40"/>
        <item x="26"/>
        <item x="16"/>
        <item x="2"/>
        <item x="29"/>
        <item x="21"/>
        <item x="32"/>
        <item x="0"/>
        <item x="9"/>
        <item x="1"/>
        <item x="27"/>
        <item x="24"/>
        <item x="17"/>
        <item x="8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5"/>
  </rowFields>
  <rowItems count="8">
    <i>
      <x/>
      <x v="3"/>
    </i>
    <i>
      <x v="1"/>
      <x v="6"/>
    </i>
    <i>
      <x v="2"/>
      <x v="2"/>
    </i>
    <i>
      <x v="3"/>
      <x v="1"/>
    </i>
    <i>
      <x v="4"/>
      <x v="5"/>
    </i>
    <i>
      <x v="5"/>
      <x v="4"/>
    </i>
    <i>
      <x v="6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Jumlah Kehadiran" fld="1" subtotal="count" baseField="0" baseItem="0"/>
    <dataField name="Total Jam Kerja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B2F3247-57A9-4806-9D7A-9DCBB1631664}" autoFormatId="16" applyNumberFormats="0" applyBorderFormats="0" applyFontFormats="0" applyPatternFormats="0" applyAlignmentFormats="0" applyWidthHeightFormats="0">
  <queryTableRefresh nextId="13">
    <queryTableFields count="8">
      <queryTableField id="1" name="NIP" tableColumnId="9"/>
      <queryTableField id="2" name="Tanggal" tableColumnId="2"/>
      <queryTableField id="3" name="Jam Masuk" tableColumnId="3"/>
      <queryTableField id="4" name="Jam Pulang" tableColumnId="4"/>
      <queryTableField id="5" name="Catatan" tableColumnId="5"/>
      <queryTableField id="9" name="Table5.Nama" tableColumnId="10"/>
      <queryTableField id="10" name="Table5.Jabatan" tableColumnId="11"/>
      <queryTableField id="8" name="Durasi Jam Kerja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B8562F5E-A28E-4CCF-AA76-61AF4D4A2ED9}" autoFormatId="16" applyNumberFormats="0" applyBorderFormats="0" applyFontFormats="0" applyPatternFormats="0" applyAlignmentFormats="0" applyWidthHeightFormats="0">
  <queryTableRefresh nextId="10">
    <queryTableFields count="9">
      <queryTableField id="1" name="NIP" tableColumnId="1"/>
      <queryTableField id="2" name="Tanggal" tableColumnId="2"/>
      <queryTableField id="3" name="Jam Masuk" tableColumnId="3"/>
      <queryTableField id="4" name="Jam Pulang" tableColumnId="4"/>
      <queryTableField id="5" name="Catatan" tableColumnId="5"/>
      <queryTableField id="6" name="Nama Pegawai" tableColumnId="6"/>
      <queryTableField id="7" name="Jabatan" tableColumnId="7"/>
      <queryTableField id="8" name="Durasi Jam Kerja" tableColumnId="8"/>
      <queryTableField id="9" name="Durasi (Hour)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A8DB140-1804-4858-B2F3-DE876F56EF48}" name="Table6" displayName="Table6" ref="A1:H274" totalsRowShown="0">
  <autoFilter ref="A1:H274" xr:uid="{CA8DB140-1804-4858-B2F3-DE876F56EF48}"/>
  <tableColumns count="8">
    <tableColumn id="1" xr3:uid="{9B48544F-F51F-4C5F-A1BF-76C147F797F2}" name="NIP"/>
    <tableColumn id="2" xr3:uid="{5078B9CC-C1D0-46F0-B508-91D77AA225EE}" name="Tanggal"/>
    <tableColumn id="3" xr3:uid="{7089F0C5-856B-4E69-9B55-A41B1AF5F971}" name="Jam Masuk"/>
    <tableColumn id="4" xr3:uid="{3C71B437-5479-41AF-85A9-23FFF5D0C7A2}" name="Jam Pulang"/>
    <tableColumn id="5" xr3:uid="{5DAB48B9-ECDC-41E3-A575-710082B7FA9E}" name="Catatan"/>
    <tableColumn id="6" xr3:uid="{FA3ECA88-5F30-40E4-A07B-B3FDE040EBDE}" name="Nama Pegawai"/>
    <tableColumn id="7" xr3:uid="{315C7183-A618-4AF9-8599-48A218A7F2D8}" name="Jabatan"/>
    <tableColumn id="8" xr3:uid="{4B81C0F4-D836-4523-8143-347E2D4D1CD2}" name="Durasi Jam Kerj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5751503-60D4-4641-A6CE-F95E7DB4253C}" name="Table7" displayName="Table7" ref="A1:C11" totalsRowShown="0">
  <autoFilter ref="A1:C11" xr:uid="{55751503-60D4-4641-A6CE-F95E7DB4253C}"/>
  <tableColumns count="3">
    <tableColumn id="1" xr3:uid="{2786FB28-45BC-4118-9534-E7B33A0131F0}" name="NIP"/>
    <tableColumn id="2" xr3:uid="{D56D7196-A8CD-49FF-B666-6984A0B649EC}" name="Nama"/>
    <tableColumn id="3" xr3:uid="{296057D7-7E51-4B18-85A0-1C92BC86DC17}" name="Jabata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BB8B0D4-0522-4EAF-93B5-5312459EEB88}" name="Table3_2" displayName="Table3_2" ref="A1:H274" tableType="queryTable" totalsRowShown="0">
  <autoFilter ref="A1:H274" xr:uid="{0BB8B0D4-0522-4EAF-93B5-5312459EEB88}"/>
  <sortState xmlns:xlrd2="http://schemas.microsoft.com/office/spreadsheetml/2017/richdata2" ref="A2:H274">
    <sortCondition ref="B1:B274"/>
  </sortState>
  <tableColumns count="8">
    <tableColumn id="9" xr3:uid="{51145548-1CCE-4A5D-AE71-663B05229EF6}" uniqueName="9" name="NIP" queryTableFieldId="1" dataDxfId="5"/>
    <tableColumn id="2" xr3:uid="{A14C3D7E-E3AF-447D-A364-4FA9F298A885}" uniqueName="2" name="Tanggal" queryTableFieldId="2" dataDxfId="4"/>
    <tableColumn id="3" xr3:uid="{35222DDD-4B0E-4306-813F-CEC92AAB8C1D}" uniqueName="3" name="Jam Masuk" queryTableFieldId="3" dataDxfId="3"/>
    <tableColumn id="4" xr3:uid="{9EF3A7A4-D5EE-4FDB-B132-D0488F94962E}" uniqueName="4" name="Jam Pulang" queryTableFieldId="4" dataDxfId="2"/>
    <tableColumn id="5" xr3:uid="{DDD23775-A19F-4C3E-B200-46E2B479C923}" uniqueName="5" name="Catatan" queryTableFieldId="5"/>
    <tableColumn id="10" xr3:uid="{B12C3DEB-FD2F-4049-82E5-CEA4CA0BF5C6}" uniqueName="10" name="Table5.Nama" queryTableFieldId="9" dataDxfId="1"/>
    <tableColumn id="11" xr3:uid="{D2B2FB36-9502-4886-B5D5-8F289012F6BC}" uniqueName="11" name="Table5.Jabatan" queryTableFieldId="10" dataDxfId="0"/>
    <tableColumn id="8" xr3:uid="{F32D54FD-4CF9-4301-9584-2136CF4C36BE}" uniqueName="8" name="Durasi Jam Kerja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325EBCF-6DF5-400B-AC1E-8F24E2BD028F}" name="Table9" displayName="Table9" ref="A1:C8" totalsRowShown="0" headerRowDxfId="19" headerRowBorderDxfId="18" tableBorderDxfId="17">
  <autoFilter ref="A1:C8" xr:uid="{0325EBCF-6DF5-400B-AC1E-8F24E2BD028F}"/>
  <tableColumns count="3">
    <tableColumn id="1" xr3:uid="{0CB3C679-8C35-4BA5-A972-699FE0634A07}" name="NIP"/>
    <tableColumn id="2" xr3:uid="{F81CDB12-FD25-48AA-94F1-913902C5E06F}" name="Nama"/>
    <tableColumn id="3" xr3:uid="{BC199195-6B70-4712-8021-81D54539E55C}" name="Jabatan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D2894DD-16D8-40F4-A1C2-16EB0B31FEFC}" name="Table8" displayName="Table8" ref="A1:G55" totalsRowShown="0">
  <autoFilter ref="A1:G55" xr:uid="{3D2894DD-16D8-40F4-A1C2-16EB0B31FEFC}"/>
  <tableColumns count="7">
    <tableColumn id="1" xr3:uid="{E678E02D-899A-48E7-A8DF-4BB0342647DF}" name="NIP"/>
    <tableColumn id="2" xr3:uid="{B6F50CD4-B4DE-4045-825F-A436BBBF6AB1}" name="Tanggal" dataDxfId="16"/>
    <tableColumn id="3" xr3:uid="{FC5DEDCE-0411-4387-B02E-1640DB753F53}" name="Jam Masuk" dataDxfId="15"/>
    <tableColumn id="4" xr3:uid="{356DD488-D48D-4570-B498-56D5BF962EC6}" name="Jam Pulang" dataDxfId="14"/>
    <tableColumn id="5" xr3:uid="{98B80F2F-077E-44D7-BE0B-C600FB017A54}" name="Catatan"/>
    <tableColumn id="6" xr3:uid="{B1CFDCCB-4AC9-495E-AD46-F916CE1193A2}" name="Nama Pegawai">
      <calculatedColumnFormula>INDEX('Database Pegawai'!B:B,MATCH($A2,'Database Pegawai'!$A:$A,0))</calculatedColumnFormula>
    </tableColumn>
    <tableColumn id="7" xr3:uid="{9452C094-00D2-49E3-A97C-B24B41E3DE4A}" name="Jabatan">
      <calculatedColumnFormula>INDEX('Database Pegawai'!C:C,MATCH($A2,'Database Pegawai'!$A:$A,0))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65116A-A14C-4DDA-8DD0-95FB9BE7D1FE}" name="Table1_2" displayName="Table1_2" ref="A1:I55" tableType="queryTable" totalsRowShown="0">
  <autoFilter ref="A1:I55" xr:uid="{5165116A-A14C-4DDA-8DD0-95FB9BE7D1FE}"/>
  <tableColumns count="9">
    <tableColumn id="1" xr3:uid="{E58A9E94-AAF7-4E47-A2BB-6C0893B1C850}" uniqueName="1" name="NIP" queryTableFieldId="1" dataDxfId="13"/>
    <tableColumn id="2" xr3:uid="{D7780BD5-2A5A-4FE0-8A1C-4E651741804F}" uniqueName="2" name="Tanggal" queryTableFieldId="2" dataDxfId="12"/>
    <tableColumn id="3" xr3:uid="{2163B3E6-AA36-484C-A034-DC66326646C1}" uniqueName="3" name="Jam Masuk" queryTableFieldId="3" dataDxfId="11"/>
    <tableColumn id="4" xr3:uid="{5EF0B190-E6BD-4463-8196-902DAFEDAE8B}" uniqueName="4" name="Jam Pulang" queryTableFieldId="4" dataDxfId="10"/>
    <tableColumn id="5" xr3:uid="{2141A2F4-92F1-4F36-A359-FFEB6E24D329}" uniqueName="5" name="Catatan" queryTableFieldId="5"/>
    <tableColumn id="6" xr3:uid="{BAEBA0C0-645E-41B7-8CE1-DF35042A51E8}" uniqueName="6" name="Nama Pegawai" queryTableFieldId="6" dataDxfId="9"/>
    <tableColumn id="7" xr3:uid="{CC301637-808D-4FBE-921A-1070E1F2F42F}" uniqueName="7" name="Jabatan" queryTableFieldId="7" dataDxfId="8"/>
    <tableColumn id="8" xr3:uid="{1534DF61-389E-4F1E-8923-F0ADD5449206}" uniqueName="8" name="Durasi Jam Kerja" queryTableFieldId="8" dataDxfId="7"/>
    <tableColumn id="9" xr3:uid="{7E8AED12-7D6B-434D-8939-6BAE137B0897}" uniqueName="9" name="Durasi (Hour)" queryTableFieldId="9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70"/>
  <sheetViews>
    <sheetView topLeftCell="A253" workbookViewId="0">
      <selection activeCell="A274" sqref="A274"/>
    </sheetView>
  </sheetViews>
  <sheetFormatPr defaultRowHeight="15" x14ac:dyDescent="0.25"/>
  <cols>
    <col min="2" max="2" width="18.5703125" customWidth="1"/>
    <col min="3" max="3" width="19.5703125" customWidth="1"/>
    <col min="4" max="4" width="19.140625" customWidth="1"/>
    <col min="5" max="5" width="9.85546875" customWidth="1"/>
    <col min="6" max="6" width="19" customWidth="1"/>
    <col min="7" max="7" width="15" customWidth="1"/>
    <col min="8" max="8" width="17.57031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152</v>
      </c>
      <c r="G1" t="s">
        <v>138</v>
      </c>
      <c r="H1" t="s">
        <v>155</v>
      </c>
    </row>
    <row r="2" spans="1:8" x14ac:dyDescent="0.25">
      <c r="A2" t="s">
        <v>5</v>
      </c>
      <c r="B2" t="s">
        <v>15</v>
      </c>
      <c r="C2" t="s">
        <v>46</v>
      </c>
      <c r="D2" t="s">
        <v>77</v>
      </c>
    </row>
    <row r="3" spans="1:8" x14ac:dyDescent="0.25">
      <c r="A3" t="s">
        <v>6</v>
      </c>
      <c r="B3" t="s">
        <v>15</v>
      </c>
      <c r="C3" t="s">
        <v>47</v>
      </c>
      <c r="D3" t="s">
        <v>78</v>
      </c>
    </row>
    <row r="4" spans="1:8" x14ac:dyDescent="0.25">
      <c r="A4" t="s">
        <v>7</v>
      </c>
      <c r="B4" t="s">
        <v>15</v>
      </c>
      <c r="C4" t="s">
        <v>48</v>
      </c>
      <c r="D4" t="s">
        <v>78</v>
      </c>
    </row>
    <row r="5" spans="1:8" x14ac:dyDescent="0.25">
      <c r="A5" t="s">
        <v>8</v>
      </c>
      <c r="B5" t="s">
        <v>15</v>
      </c>
      <c r="C5" t="s">
        <v>49</v>
      </c>
      <c r="D5" t="s">
        <v>79</v>
      </c>
    </row>
    <row r="6" spans="1:8" x14ac:dyDescent="0.25">
      <c r="A6" t="s">
        <v>9</v>
      </c>
      <c r="B6" t="s">
        <v>15</v>
      </c>
      <c r="C6" t="s">
        <v>50</v>
      </c>
      <c r="D6" t="s">
        <v>80</v>
      </c>
    </row>
    <row r="7" spans="1:8" x14ac:dyDescent="0.25">
      <c r="A7" t="s">
        <v>10</v>
      </c>
      <c r="B7" t="s">
        <v>15</v>
      </c>
      <c r="C7" t="s">
        <v>51</v>
      </c>
      <c r="D7" t="s">
        <v>81</v>
      </c>
    </row>
    <row r="8" spans="1:8" x14ac:dyDescent="0.25">
      <c r="A8" t="s">
        <v>11</v>
      </c>
      <c r="B8" t="s">
        <v>15</v>
      </c>
      <c r="C8" t="s">
        <v>52</v>
      </c>
      <c r="D8" t="s">
        <v>82</v>
      </c>
    </row>
    <row r="9" spans="1:8" x14ac:dyDescent="0.25">
      <c r="A9" t="s">
        <v>12</v>
      </c>
      <c r="B9" t="s">
        <v>15</v>
      </c>
      <c r="C9" t="s">
        <v>53</v>
      </c>
      <c r="D9" t="s">
        <v>83</v>
      </c>
    </row>
    <row r="10" spans="1:8" x14ac:dyDescent="0.25">
      <c r="A10" t="s">
        <v>5</v>
      </c>
      <c r="B10" t="s">
        <v>16</v>
      </c>
      <c r="C10" t="s">
        <v>54</v>
      </c>
      <c r="D10" t="s">
        <v>84</v>
      </c>
    </row>
    <row r="11" spans="1:8" x14ac:dyDescent="0.25">
      <c r="A11" t="s">
        <v>6</v>
      </c>
      <c r="B11" t="s">
        <v>16</v>
      </c>
      <c r="C11" t="s">
        <v>46</v>
      </c>
      <c r="D11" t="s">
        <v>85</v>
      </c>
    </row>
    <row r="12" spans="1:8" x14ac:dyDescent="0.25">
      <c r="A12" t="s">
        <v>13</v>
      </c>
      <c r="B12" t="s">
        <v>16</v>
      </c>
      <c r="C12" t="s">
        <v>55</v>
      </c>
      <c r="D12" t="s">
        <v>86</v>
      </c>
    </row>
    <row r="13" spans="1:8" x14ac:dyDescent="0.25">
      <c r="A13" t="s">
        <v>7</v>
      </c>
      <c r="B13" t="s">
        <v>16</v>
      </c>
      <c r="C13" t="s">
        <v>49</v>
      </c>
      <c r="D13" t="s">
        <v>87</v>
      </c>
    </row>
    <row r="14" spans="1:8" x14ac:dyDescent="0.25">
      <c r="A14" t="s">
        <v>8</v>
      </c>
      <c r="B14" t="s">
        <v>16</v>
      </c>
      <c r="C14" t="s">
        <v>56</v>
      </c>
      <c r="D14" t="s">
        <v>88</v>
      </c>
    </row>
    <row r="15" spans="1:8" x14ac:dyDescent="0.25">
      <c r="A15" t="s">
        <v>9</v>
      </c>
      <c r="B15" t="s">
        <v>16</v>
      </c>
      <c r="C15" t="s">
        <v>57</v>
      </c>
      <c r="D15" t="s">
        <v>89</v>
      </c>
    </row>
    <row r="16" spans="1:8" x14ac:dyDescent="0.25">
      <c r="A16" t="s">
        <v>10</v>
      </c>
      <c r="B16" t="s">
        <v>16</v>
      </c>
      <c r="C16" t="s">
        <v>50</v>
      </c>
      <c r="D16" t="s">
        <v>90</v>
      </c>
    </row>
    <row r="17" spans="1:4" x14ac:dyDescent="0.25">
      <c r="A17" t="s">
        <v>14</v>
      </c>
      <c r="B17" t="s">
        <v>16</v>
      </c>
      <c r="C17" t="s">
        <v>57</v>
      </c>
      <c r="D17" t="s">
        <v>91</v>
      </c>
    </row>
    <row r="18" spans="1:4" x14ac:dyDescent="0.25">
      <c r="A18" t="s">
        <v>11</v>
      </c>
      <c r="B18" t="s">
        <v>16</v>
      </c>
      <c r="C18" t="s">
        <v>58</v>
      </c>
      <c r="D18" t="s">
        <v>92</v>
      </c>
    </row>
    <row r="19" spans="1:4" x14ac:dyDescent="0.25">
      <c r="A19" t="s">
        <v>12</v>
      </c>
      <c r="B19" t="s">
        <v>16</v>
      </c>
      <c r="C19" t="s">
        <v>59</v>
      </c>
      <c r="D19" t="s">
        <v>88</v>
      </c>
    </row>
    <row r="20" spans="1:4" x14ac:dyDescent="0.25">
      <c r="A20" t="s">
        <v>6</v>
      </c>
      <c r="B20" t="s">
        <v>17</v>
      </c>
      <c r="C20" t="s">
        <v>47</v>
      </c>
      <c r="D20" t="s">
        <v>93</v>
      </c>
    </row>
    <row r="21" spans="1:4" x14ac:dyDescent="0.25">
      <c r="A21" t="s">
        <v>13</v>
      </c>
      <c r="B21" t="s">
        <v>17</v>
      </c>
      <c r="C21" t="s">
        <v>60</v>
      </c>
      <c r="D21" t="s">
        <v>94</v>
      </c>
    </row>
    <row r="22" spans="1:4" x14ac:dyDescent="0.25">
      <c r="A22" t="s">
        <v>7</v>
      </c>
      <c r="B22" t="s">
        <v>17</v>
      </c>
      <c r="C22" t="s">
        <v>61</v>
      </c>
      <c r="D22" t="s">
        <v>95</v>
      </c>
    </row>
    <row r="23" spans="1:4" x14ac:dyDescent="0.25">
      <c r="A23" t="s">
        <v>10</v>
      </c>
      <c r="B23" t="s">
        <v>17</v>
      </c>
      <c r="C23" t="s">
        <v>48</v>
      </c>
      <c r="D23" t="s">
        <v>96</v>
      </c>
    </row>
    <row r="24" spans="1:4" x14ac:dyDescent="0.25">
      <c r="A24" t="s">
        <v>14</v>
      </c>
      <c r="B24" t="s">
        <v>17</v>
      </c>
      <c r="C24" t="s">
        <v>62</v>
      </c>
      <c r="D24" t="s">
        <v>97</v>
      </c>
    </row>
    <row r="25" spans="1:4" x14ac:dyDescent="0.25">
      <c r="A25" t="s">
        <v>12</v>
      </c>
      <c r="B25" t="s">
        <v>17</v>
      </c>
      <c r="C25" t="s">
        <v>62</v>
      </c>
      <c r="D25" t="s">
        <v>86</v>
      </c>
    </row>
    <row r="26" spans="1:4" x14ac:dyDescent="0.25">
      <c r="A26" t="s">
        <v>5</v>
      </c>
      <c r="B26" t="s">
        <v>18</v>
      </c>
      <c r="C26" t="s">
        <v>59</v>
      </c>
      <c r="D26" t="s">
        <v>98</v>
      </c>
    </row>
    <row r="27" spans="1:4" x14ac:dyDescent="0.25">
      <c r="A27" t="s">
        <v>6</v>
      </c>
      <c r="B27" t="s">
        <v>18</v>
      </c>
      <c r="C27" t="s">
        <v>51</v>
      </c>
      <c r="D27" t="s">
        <v>81</v>
      </c>
    </row>
    <row r="28" spans="1:4" x14ac:dyDescent="0.25">
      <c r="A28" t="s">
        <v>7</v>
      </c>
      <c r="B28" t="s">
        <v>18</v>
      </c>
      <c r="C28" t="s">
        <v>63</v>
      </c>
      <c r="D28" t="s">
        <v>97</v>
      </c>
    </row>
    <row r="29" spans="1:4" x14ac:dyDescent="0.25">
      <c r="A29" t="s">
        <v>8</v>
      </c>
      <c r="B29" t="s">
        <v>18</v>
      </c>
      <c r="C29" t="s">
        <v>58</v>
      </c>
      <c r="D29" t="s">
        <v>99</v>
      </c>
    </row>
    <row r="30" spans="1:4" x14ac:dyDescent="0.25">
      <c r="A30" t="s">
        <v>9</v>
      </c>
      <c r="B30" t="s">
        <v>18</v>
      </c>
      <c r="C30" t="s">
        <v>49</v>
      </c>
      <c r="D30" t="s">
        <v>88</v>
      </c>
    </row>
    <row r="31" spans="1:4" x14ac:dyDescent="0.25">
      <c r="A31" t="s">
        <v>10</v>
      </c>
      <c r="B31" t="s">
        <v>18</v>
      </c>
      <c r="C31" t="s">
        <v>58</v>
      </c>
      <c r="D31" t="s">
        <v>87</v>
      </c>
    </row>
    <row r="32" spans="1:4" x14ac:dyDescent="0.25">
      <c r="A32" t="s">
        <v>14</v>
      </c>
      <c r="B32" t="s">
        <v>18</v>
      </c>
      <c r="C32" t="s">
        <v>64</v>
      </c>
      <c r="D32" t="s">
        <v>100</v>
      </c>
    </row>
    <row r="33" spans="1:4" x14ac:dyDescent="0.25">
      <c r="A33" t="s">
        <v>12</v>
      </c>
      <c r="B33" t="s">
        <v>18</v>
      </c>
      <c r="C33" t="s">
        <v>65</v>
      </c>
      <c r="D33" t="s">
        <v>101</v>
      </c>
    </row>
    <row r="34" spans="1:4" x14ac:dyDescent="0.25">
      <c r="A34" t="s">
        <v>5</v>
      </c>
      <c r="B34" t="s">
        <v>19</v>
      </c>
      <c r="C34" t="s">
        <v>66</v>
      </c>
      <c r="D34" t="s">
        <v>102</v>
      </c>
    </row>
    <row r="35" spans="1:4" x14ac:dyDescent="0.25">
      <c r="A35" t="s">
        <v>6</v>
      </c>
      <c r="B35" t="s">
        <v>19</v>
      </c>
      <c r="C35" t="s">
        <v>65</v>
      </c>
      <c r="D35" t="s">
        <v>103</v>
      </c>
    </row>
    <row r="36" spans="1:4" x14ac:dyDescent="0.25">
      <c r="A36" t="s">
        <v>13</v>
      </c>
      <c r="B36" t="s">
        <v>19</v>
      </c>
      <c r="C36" t="s">
        <v>52</v>
      </c>
      <c r="D36" t="s">
        <v>81</v>
      </c>
    </row>
    <row r="37" spans="1:4" x14ac:dyDescent="0.25">
      <c r="A37" t="s">
        <v>8</v>
      </c>
      <c r="B37" t="s">
        <v>19</v>
      </c>
      <c r="C37" t="s">
        <v>57</v>
      </c>
      <c r="D37" t="s">
        <v>104</v>
      </c>
    </row>
    <row r="38" spans="1:4" x14ac:dyDescent="0.25">
      <c r="A38" t="s">
        <v>9</v>
      </c>
      <c r="B38" t="s">
        <v>19</v>
      </c>
      <c r="C38" t="s">
        <v>57</v>
      </c>
      <c r="D38" t="s">
        <v>105</v>
      </c>
    </row>
    <row r="39" spans="1:4" x14ac:dyDescent="0.25">
      <c r="A39" t="s">
        <v>10</v>
      </c>
      <c r="B39" t="s">
        <v>19</v>
      </c>
      <c r="C39" t="s">
        <v>67</v>
      </c>
      <c r="D39" t="s">
        <v>89</v>
      </c>
    </row>
    <row r="40" spans="1:4" x14ac:dyDescent="0.25">
      <c r="A40" t="s">
        <v>14</v>
      </c>
      <c r="B40" t="s">
        <v>19</v>
      </c>
      <c r="C40" t="s">
        <v>66</v>
      </c>
      <c r="D40" t="s">
        <v>106</v>
      </c>
    </row>
    <row r="41" spans="1:4" x14ac:dyDescent="0.25">
      <c r="A41" t="s">
        <v>11</v>
      </c>
      <c r="B41" t="s">
        <v>19</v>
      </c>
      <c r="C41" t="s">
        <v>68</v>
      </c>
      <c r="D41" t="s">
        <v>94</v>
      </c>
    </row>
    <row r="42" spans="1:4" x14ac:dyDescent="0.25">
      <c r="A42" t="s">
        <v>12</v>
      </c>
      <c r="B42" t="s">
        <v>19</v>
      </c>
      <c r="C42" t="s">
        <v>69</v>
      </c>
      <c r="D42" t="s">
        <v>107</v>
      </c>
    </row>
    <row r="43" spans="1:4" x14ac:dyDescent="0.25">
      <c r="A43" t="s">
        <v>6</v>
      </c>
      <c r="B43" t="s">
        <v>20</v>
      </c>
      <c r="C43" t="s">
        <v>60</v>
      </c>
      <c r="D43" t="s">
        <v>86</v>
      </c>
    </row>
    <row r="44" spans="1:4" x14ac:dyDescent="0.25">
      <c r="A44" t="s">
        <v>13</v>
      </c>
      <c r="B44" t="s">
        <v>20</v>
      </c>
      <c r="C44" t="s">
        <v>49</v>
      </c>
      <c r="D44" t="s">
        <v>104</v>
      </c>
    </row>
    <row r="45" spans="1:4" x14ac:dyDescent="0.25">
      <c r="A45" t="s">
        <v>7</v>
      </c>
      <c r="B45" t="s">
        <v>20</v>
      </c>
      <c r="C45" t="s">
        <v>51</v>
      </c>
      <c r="D45" t="s">
        <v>108</v>
      </c>
    </row>
    <row r="46" spans="1:4" x14ac:dyDescent="0.25">
      <c r="A46" t="s">
        <v>8</v>
      </c>
      <c r="B46" t="s">
        <v>20</v>
      </c>
      <c r="C46" t="s">
        <v>51</v>
      </c>
      <c r="D46" t="s">
        <v>109</v>
      </c>
    </row>
    <row r="47" spans="1:4" x14ac:dyDescent="0.25">
      <c r="A47" t="s">
        <v>10</v>
      </c>
      <c r="B47" t="s">
        <v>20</v>
      </c>
      <c r="C47" t="s">
        <v>70</v>
      </c>
      <c r="D47" t="s">
        <v>82</v>
      </c>
    </row>
    <row r="48" spans="1:4" x14ac:dyDescent="0.25">
      <c r="A48" t="s">
        <v>14</v>
      </c>
      <c r="B48" t="s">
        <v>20</v>
      </c>
      <c r="C48" t="s">
        <v>66</v>
      </c>
      <c r="D48" t="s">
        <v>110</v>
      </c>
    </row>
    <row r="49" spans="1:4" x14ac:dyDescent="0.25">
      <c r="A49" t="s">
        <v>11</v>
      </c>
      <c r="B49" t="s">
        <v>20</v>
      </c>
      <c r="C49" t="s">
        <v>49</v>
      </c>
      <c r="D49" t="s">
        <v>111</v>
      </c>
    </row>
    <row r="50" spans="1:4" x14ac:dyDescent="0.25">
      <c r="A50" t="s">
        <v>12</v>
      </c>
      <c r="B50" t="s">
        <v>20</v>
      </c>
      <c r="C50" t="s">
        <v>67</v>
      </c>
      <c r="D50" t="s">
        <v>96</v>
      </c>
    </row>
    <row r="51" spans="1:4" x14ac:dyDescent="0.25">
      <c r="A51" t="s">
        <v>5</v>
      </c>
      <c r="B51" t="s">
        <v>21</v>
      </c>
      <c r="C51" t="s">
        <v>53</v>
      </c>
      <c r="D51" t="s">
        <v>80</v>
      </c>
    </row>
    <row r="52" spans="1:4" x14ac:dyDescent="0.25">
      <c r="A52" t="s">
        <v>13</v>
      </c>
      <c r="B52" t="s">
        <v>21</v>
      </c>
      <c r="C52" t="s">
        <v>58</v>
      </c>
      <c r="D52" t="s">
        <v>112</v>
      </c>
    </row>
    <row r="53" spans="1:4" x14ac:dyDescent="0.25">
      <c r="A53" t="s">
        <v>7</v>
      </c>
      <c r="B53" t="s">
        <v>21</v>
      </c>
      <c r="C53" t="s">
        <v>57</v>
      </c>
      <c r="D53" t="s">
        <v>113</v>
      </c>
    </row>
    <row r="54" spans="1:4" x14ac:dyDescent="0.25">
      <c r="A54" t="s">
        <v>8</v>
      </c>
      <c r="B54" t="s">
        <v>21</v>
      </c>
      <c r="C54" t="s">
        <v>71</v>
      </c>
      <c r="D54" t="s">
        <v>100</v>
      </c>
    </row>
    <row r="55" spans="1:4" x14ac:dyDescent="0.25">
      <c r="A55" t="s">
        <v>9</v>
      </c>
      <c r="B55" t="s">
        <v>21</v>
      </c>
      <c r="C55" t="s">
        <v>70</v>
      </c>
      <c r="D55" t="s">
        <v>114</v>
      </c>
    </row>
    <row r="56" spans="1:4" x14ac:dyDescent="0.25">
      <c r="A56" t="s">
        <v>10</v>
      </c>
      <c r="B56" t="s">
        <v>21</v>
      </c>
      <c r="C56" t="s">
        <v>50</v>
      </c>
      <c r="D56" t="s">
        <v>110</v>
      </c>
    </row>
    <row r="57" spans="1:4" x14ac:dyDescent="0.25">
      <c r="A57" t="s">
        <v>14</v>
      </c>
      <c r="B57" t="s">
        <v>21</v>
      </c>
      <c r="C57" t="s">
        <v>71</v>
      </c>
      <c r="D57" t="s">
        <v>91</v>
      </c>
    </row>
    <row r="58" spans="1:4" x14ac:dyDescent="0.25">
      <c r="A58" t="s">
        <v>11</v>
      </c>
      <c r="B58" t="s">
        <v>21</v>
      </c>
      <c r="C58" t="s">
        <v>46</v>
      </c>
      <c r="D58" t="s">
        <v>85</v>
      </c>
    </row>
    <row r="59" spans="1:4" x14ac:dyDescent="0.25">
      <c r="A59" t="s">
        <v>12</v>
      </c>
      <c r="B59" t="s">
        <v>21</v>
      </c>
      <c r="C59" t="s">
        <v>72</v>
      </c>
      <c r="D59" t="s">
        <v>102</v>
      </c>
    </row>
    <row r="60" spans="1:4" x14ac:dyDescent="0.25">
      <c r="A60" t="s">
        <v>5</v>
      </c>
      <c r="B60" t="s">
        <v>22</v>
      </c>
      <c r="C60" t="s">
        <v>48</v>
      </c>
      <c r="D60" t="s">
        <v>115</v>
      </c>
    </row>
    <row r="61" spans="1:4" x14ac:dyDescent="0.25">
      <c r="A61" t="s">
        <v>13</v>
      </c>
      <c r="B61" t="s">
        <v>22</v>
      </c>
      <c r="C61" t="s">
        <v>46</v>
      </c>
      <c r="D61" t="s">
        <v>90</v>
      </c>
    </row>
    <row r="62" spans="1:4" x14ac:dyDescent="0.25">
      <c r="A62" t="s">
        <v>7</v>
      </c>
      <c r="B62" t="s">
        <v>22</v>
      </c>
      <c r="C62" t="s">
        <v>60</v>
      </c>
      <c r="D62" t="s">
        <v>114</v>
      </c>
    </row>
    <row r="63" spans="1:4" x14ac:dyDescent="0.25">
      <c r="A63" t="s">
        <v>8</v>
      </c>
      <c r="B63" t="s">
        <v>22</v>
      </c>
      <c r="C63" t="s">
        <v>60</v>
      </c>
      <c r="D63" t="s">
        <v>116</v>
      </c>
    </row>
    <row r="64" spans="1:4" x14ac:dyDescent="0.25">
      <c r="A64" t="s">
        <v>9</v>
      </c>
      <c r="B64" t="s">
        <v>22</v>
      </c>
      <c r="C64" t="s">
        <v>59</v>
      </c>
      <c r="D64" t="s">
        <v>108</v>
      </c>
    </row>
    <row r="65" spans="1:4" x14ac:dyDescent="0.25">
      <c r="A65" t="s">
        <v>10</v>
      </c>
      <c r="B65" t="s">
        <v>22</v>
      </c>
      <c r="C65" t="s">
        <v>54</v>
      </c>
      <c r="D65" t="s">
        <v>100</v>
      </c>
    </row>
    <row r="66" spans="1:4" x14ac:dyDescent="0.25">
      <c r="A66" t="s">
        <v>11</v>
      </c>
      <c r="B66" t="s">
        <v>22</v>
      </c>
      <c r="C66" t="s">
        <v>49</v>
      </c>
      <c r="D66" t="s">
        <v>90</v>
      </c>
    </row>
    <row r="67" spans="1:4" x14ac:dyDescent="0.25">
      <c r="A67" t="s">
        <v>12</v>
      </c>
      <c r="B67" t="s">
        <v>22</v>
      </c>
      <c r="C67" t="s">
        <v>67</v>
      </c>
      <c r="D67" t="s">
        <v>117</v>
      </c>
    </row>
    <row r="68" spans="1:4" x14ac:dyDescent="0.25">
      <c r="A68" t="s">
        <v>5</v>
      </c>
      <c r="B68" t="s">
        <v>23</v>
      </c>
      <c r="C68" t="s">
        <v>58</v>
      </c>
      <c r="D68" t="s">
        <v>118</v>
      </c>
    </row>
    <row r="69" spans="1:4" x14ac:dyDescent="0.25">
      <c r="A69" t="s">
        <v>6</v>
      </c>
      <c r="B69" t="s">
        <v>23</v>
      </c>
      <c r="C69" t="s">
        <v>63</v>
      </c>
      <c r="D69" t="s">
        <v>86</v>
      </c>
    </row>
    <row r="70" spans="1:4" x14ac:dyDescent="0.25">
      <c r="A70" t="s">
        <v>13</v>
      </c>
      <c r="B70" t="s">
        <v>23</v>
      </c>
      <c r="C70" t="s">
        <v>53</v>
      </c>
      <c r="D70" t="s">
        <v>96</v>
      </c>
    </row>
    <row r="71" spans="1:4" x14ac:dyDescent="0.25">
      <c r="A71" t="s">
        <v>7</v>
      </c>
      <c r="B71" t="s">
        <v>23</v>
      </c>
      <c r="C71" t="s">
        <v>66</v>
      </c>
      <c r="D71" t="s">
        <v>112</v>
      </c>
    </row>
    <row r="72" spans="1:4" x14ac:dyDescent="0.25">
      <c r="A72" t="s">
        <v>8</v>
      </c>
      <c r="B72" t="s">
        <v>23</v>
      </c>
      <c r="C72" t="s">
        <v>73</v>
      </c>
      <c r="D72" t="s">
        <v>119</v>
      </c>
    </row>
    <row r="73" spans="1:4" x14ac:dyDescent="0.25">
      <c r="A73" t="s">
        <v>9</v>
      </c>
      <c r="B73" t="s">
        <v>23</v>
      </c>
      <c r="C73" t="s">
        <v>46</v>
      </c>
      <c r="D73" t="s">
        <v>78</v>
      </c>
    </row>
    <row r="74" spans="1:4" x14ac:dyDescent="0.25">
      <c r="A74" t="s">
        <v>10</v>
      </c>
      <c r="B74" t="s">
        <v>23</v>
      </c>
      <c r="C74" t="s">
        <v>71</v>
      </c>
      <c r="D74" t="s">
        <v>89</v>
      </c>
    </row>
    <row r="75" spans="1:4" x14ac:dyDescent="0.25">
      <c r="A75" t="s">
        <v>14</v>
      </c>
      <c r="B75" t="s">
        <v>23</v>
      </c>
      <c r="C75" t="s">
        <v>72</v>
      </c>
      <c r="D75" t="s">
        <v>120</v>
      </c>
    </row>
    <row r="76" spans="1:4" x14ac:dyDescent="0.25">
      <c r="A76" t="s">
        <v>11</v>
      </c>
      <c r="B76" t="s">
        <v>23</v>
      </c>
      <c r="C76" t="s">
        <v>56</v>
      </c>
      <c r="D76" t="s">
        <v>121</v>
      </c>
    </row>
    <row r="77" spans="1:4" x14ac:dyDescent="0.25">
      <c r="A77" t="s">
        <v>12</v>
      </c>
      <c r="B77" t="s">
        <v>23</v>
      </c>
      <c r="C77" t="s">
        <v>53</v>
      </c>
      <c r="D77" t="s">
        <v>88</v>
      </c>
    </row>
    <row r="78" spans="1:4" x14ac:dyDescent="0.25">
      <c r="A78" t="s">
        <v>5</v>
      </c>
      <c r="B78" t="s">
        <v>24</v>
      </c>
      <c r="C78" t="s">
        <v>69</v>
      </c>
      <c r="D78" t="s">
        <v>99</v>
      </c>
    </row>
    <row r="79" spans="1:4" x14ac:dyDescent="0.25">
      <c r="A79" t="s">
        <v>6</v>
      </c>
      <c r="B79" t="s">
        <v>24</v>
      </c>
      <c r="C79" t="s">
        <v>74</v>
      </c>
      <c r="D79" t="s">
        <v>100</v>
      </c>
    </row>
    <row r="80" spans="1:4" x14ac:dyDescent="0.25">
      <c r="A80" t="s">
        <v>13</v>
      </c>
      <c r="B80" t="s">
        <v>24</v>
      </c>
      <c r="C80" t="s">
        <v>56</v>
      </c>
      <c r="D80" t="s">
        <v>87</v>
      </c>
    </row>
    <row r="81" spans="1:4" x14ac:dyDescent="0.25">
      <c r="A81" t="s">
        <v>7</v>
      </c>
      <c r="B81" t="s">
        <v>24</v>
      </c>
      <c r="C81" t="s">
        <v>54</v>
      </c>
      <c r="D81" t="s">
        <v>111</v>
      </c>
    </row>
    <row r="82" spans="1:4" x14ac:dyDescent="0.25">
      <c r="A82" t="s">
        <v>8</v>
      </c>
      <c r="B82" t="s">
        <v>24</v>
      </c>
      <c r="C82" t="s">
        <v>71</v>
      </c>
      <c r="D82" t="s">
        <v>122</v>
      </c>
    </row>
    <row r="83" spans="1:4" x14ac:dyDescent="0.25">
      <c r="A83" t="s">
        <v>9</v>
      </c>
      <c r="B83" t="s">
        <v>24</v>
      </c>
      <c r="C83" t="s">
        <v>65</v>
      </c>
      <c r="D83" t="s">
        <v>78</v>
      </c>
    </row>
    <row r="84" spans="1:4" x14ac:dyDescent="0.25">
      <c r="A84" t="s">
        <v>10</v>
      </c>
      <c r="B84" t="s">
        <v>24</v>
      </c>
      <c r="C84" t="s">
        <v>65</v>
      </c>
      <c r="D84" t="s">
        <v>88</v>
      </c>
    </row>
    <row r="85" spans="1:4" x14ac:dyDescent="0.25">
      <c r="A85" t="s">
        <v>14</v>
      </c>
      <c r="B85" t="s">
        <v>24</v>
      </c>
      <c r="C85" t="s">
        <v>54</v>
      </c>
      <c r="D85" t="s">
        <v>91</v>
      </c>
    </row>
    <row r="86" spans="1:4" x14ac:dyDescent="0.25">
      <c r="A86" t="s">
        <v>11</v>
      </c>
      <c r="B86" t="s">
        <v>24</v>
      </c>
      <c r="C86" t="s">
        <v>70</v>
      </c>
      <c r="D86" t="s">
        <v>83</v>
      </c>
    </row>
    <row r="87" spans="1:4" x14ac:dyDescent="0.25">
      <c r="A87" t="s">
        <v>12</v>
      </c>
      <c r="B87" t="s">
        <v>24</v>
      </c>
      <c r="C87" t="s">
        <v>61</v>
      </c>
      <c r="D87" t="s">
        <v>113</v>
      </c>
    </row>
    <row r="88" spans="1:4" x14ac:dyDescent="0.25">
      <c r="A88" t="s">
        <v>5</v>
      </c>
      <c r="B88" t="s">
        <v>25</v>
      </c>
      <c r="C88" t="s">
        <v>64</v>
      </c>
      <c r="D88" t="s">
        <v>99</v>
      </c>
    </row>
    <row r="89" spans="1:4" x14ac:dyDescent="0.25">
      <c r="A89" t="s">
        <v>6</v>
      </c>
      <c r="B89" t="s">
        <v>25</v>
      </c>
      <c r="C89" t="s">
        <v>59</v>
      </c>
      <c r="D89" t="s">
        <v>111</v>
      </c>
    </row>
    <row r="90" spans="1:4" x14ac:dyDescent="0.25">
      <c r="A90" t="s">
        <v>13</v>
      </c>
      <c r="B90" t="s">
        <v>25</v>
      </c>
      <c r="C90" t="s">
        <v>68</v>
      </c>
      <c r="D90" t="s">
        <v>101</v>
      </c>
    </row>
    <row r="91" spans="1:4" x14ac:dyDescent="0.25">
      <c r="A91" t="s">
        <v>7</v>
      </c>
      <c r="B91" t="s">
        <v>25</v>
      </c>
      <c r="C91" t="s">
        <v>46</v>
      </c>
      <c r="D91" t="s">
        <v>112</v>
      </c>
    </row>
    <row r="92" spans="1:4" x14ac:dyDescent="0.25">
      <c r="A92" t="s">
        <v>8</v>
      </c>
      <c r="B92" t="s">
        <v>25</v>
      </c>
      <c r="C92" t="s">
        <v>63</v>
      </c>
      <c r="D92" t="s">
        <v>106</v>
      </c>
    </row>
    <row r="93" spans="1:4" x14ac:dyDescent="0.25">
      <c r="A93" t="s">
        <v>9</v>
      </c>
      <c r="B93" t="s">
        <v>25</v>
      </c>
      <c r="C93" t="s">
        <v>51</v>
      </c>
      <c r="D93" t="s">
        <v>99</v>
      </c>
    </row>
    <row r="94" spans="1:4" x14ac:dyDescent="0.25">
      <c r="A94" t="s">
        <v>10</v>
      </c>
      <c r="B94" t="s">
        <v>25</v>
      </c>
      <c r="C94" t="s">
        <v>65</v>
      </c>
      <c r="D94" t="s">
        <v>123</v>
      </c>
    </row>
    <row r="95" spans="1:4" x14ac:dyDescent="0.25">
      <c r="A95" t="s">
        <v>14</v>
      </c>
      <c r="B95" t="s">
        <v>25</v>
      </c>
      <c r="C95" t="s">
        <v>57</v>
      </c>
      <c r="D95" t="s">
        <v>84</v>
      </c>
    </row>
    <row r="96" spans="1:4" x14ac:dyDescent="0.25">
      <c r="A96" t="s">
        <v>11</v>
      </c>
      <c r="B96" t="s">
        <v>25</v>
      </c>
      <c r="C96" t="s">
        <v>66</v>
      </c>
      <c r="D96" t="s">
        <v>103</v>
      </c>
    </row>
    <row r="97" spans="1:4" x14ac:dyDescent="0.25">
      <c r="A97" t="s">
        <v>12</v>
      </c>
      <c r="B97" t="s">
        <v>25</v>
      </c>
      <c r="C97" t="s">
        <v>69</v>
      </c>
      <c r="D97" t="s">
        <v>87</v>
      </c>
    </row>
    <row r="98" spans="1:4" x14ac:dyDescent="0.25">
      <c r="A98" t="s">
        <v>5</v>
      </c>
      <c r="B98" t="s">
        <v>26</v>
      </c>
      <c r="C98" t="s">
        <v>47</v>
      </c>
      <c r="D98" t="s">
        <v>105</v>
      </c>
    </row>
    <row r="99" spans="1:4" x14ac:dyDescent="0.25">
      <c r="A99" t="s">
        <v>6</v>
      </c>
      <c r="B99" t="s">
        <v>26</v>
      </c>
      <c r="C99" t="s">
        <v>61</v>
      </c>
      <c r="D99" t="s">
        <v>124</v>
      </c>
    </row>
    <row r="100" spans="1:4" x14ac:dyDescent="0.25">
      <c r="A100" t="s">
        <v>13</v>
      </c>
      <c r="B100" t="s">
        <v>26</v>
      </c>
      <c r="C100" t="s">
        <v>74</v>
      </c>
      <c r="D100" t="s">
        <v>113</v>
      </c>
    </row>
    <row r="101" spans="1:4" x14ac:dyDescent="0.25">
      <c r="A101" t="s">
        <v>7</v>
      </c>
      <c r="B101" t="s">
        <v>26</v>
      </c>
      <c r="C101" t="s">
        <v>52</v>
      </c>
      <c r="D101" t="s">
        <v>82</v>
      </c>
    </row>
    <row r="102" spans="1:4" x14ac:dyDescent="0.25">
      <c r="A102" t="s">
        <v>8</v>
      </c>
      <c r="B102" t="s">
        <v>26</v>
      </c>
      <c r="C102" t="s">
        <v>59</v>
      </c>
      <c r="D102" t="s">
        <v>123</v>
      </c>
    </row>
    <row r="103" spans="1:4" x14ac:dyDescent="0.25">
      <c r="A103" t="s">
        <v>9</v>
      </c>
      <c r="B103" t="s">
        <v>26</v>
      </c>
      <c r="C103" t="s">
        <v>59</v>
      </c>
      <c r="D103" t="s">
        <v>90</v>
      </c>
    </row>
    <row r="104" spans="1:4" x14ac:dyDescent="0.25">
      <c r="A104" t="s">
        <v>10</v>
      </c>
      <c r="B104" t="s">
        <v>26</v>
      </c>
      <c r="C104" t="s">
        <v>58</v>
      </c>
      <c r="D104" t="s">
        <v>116</v>
      </c>
    </row>
    <row r="105" spans="1:4" x14ac:dyDescent="0.25">
      <c r="A105" t="s">
        <v>14</v>
      </c>
      <c r="B105" t="s">
        <v>26</v>
      </c>
      <c r="C105" t="s">
        <v>70</v>
      </c>
      <c r="D105" t="s">
        <v>105</v>
      </c>
    </row>
    <row r="106" spans="1:4" x14ac:dyDescent="0.25">
      <c r="A106" t="s">
        <v>11</v>
      </c>
      <c r="B106" t="s">
        <v>26</v>
      </c>
      <c r="C106" t="s">
        <v>46</v>
      </c>
      <c r="D106" t="s">
        <v>120</v>
      </c>
    </row>
    <row r="107" spans="1:4" x14ac:dyDescent="0.25">
      <c r="A107" t="s">
        <v>12</v>
      </c>
      <c r="B107" t="s">
        <v>26</v>
      </c>
      <c r="C107" t="s">
        <v>70</v>
      </c>
      <c r="D107" t="s">
        <v>93</v>
      </c>
    </row>
    <row r="108" spans="1:4" x14ac:dyDescent="0.25">
      <c r="A108" t="s">
        <v>5</v>
      </c>
      <c r="B108" t="s">
        <v>27</v>
      </c>
      <c r="C108" t="s">
        <v>69</v>
      </c>
      <c r="D108" t="s">
        <v>123</v>
      </c>
    </row>
    <row r="109" spans="1:4" x14ac:dyDescent="0.25">
      <c r="A109" t="s">
        <v>6</v>
      </c>
      <c r="B109" t="s">
        <v>27</v>
      </c>
      <c r="C109" t="s">
        <v>69</v>
      </c>
      <c r="D109" t="s">
        <v>78</v>
      </c>
    </row>
    <row r="110" spans="1:4" x14ac:dyDescent="0.25">
      <c r="A110" t="s">
        <v>13</v>
      </c>
      <c r="B110" t="s">
        <v>27</v>
      </c>
      <c r="C110" t="s">
        <v>75</v>
      </c>
      <c r="D110" t="s">
        <v>117</v>
      </c>
    </row>
    <row r="111" spans="1:4" x14ac:dyDescent="0.25">
      <c r="A111" t="s">
        <v>7</v>
      </c>
      <c r="B111" t="s">
        <v>27</v>
      </c>
      <c r="C111" t="s">
        <v>50</v>
      </c>
      <c r="D111" t="s">
        <v>109</v>
      </c>
    </row>
    <row r="112" spans="1:4" x14ac:dyDescent="0.25">
      <c r="A112" t="s">
        <v>8</v>
      </c>
      <c r="B112" t="s">
        <v>27</v>
      </c>
      <c r="C112" t="s">
        <v>57</v>
      </c>
      <c r="D112" t="s">
        <v>125</v>
      </c>
    </row>
    <row r="113" spans="1:4" x14ac:dyDescent="0.25">
      <c r="A113" t="s">
        <v>9</v>
      </c>
      <c r="B113" t="s">
        <v>27</v>
      </c>
      <c r="C113" t="s">
        <v>61</v>
      </c>
      <c r="D113" t="s">
        <v>78</v>
      </c>
    </row>
    <row r="114" spans="1:4" x14ac:dyDescent="0.25">
      <c r="A114" t="s">
        <v>10</v>
      </c>
      <c r="B114" t="s">
        <v>27</v>
      </c>
      <c r="C114" t="s">
        <v>56</v>
      </c>
      <c r="D114" t="s">
        <v>126</v>
      </c>
    </row>
    <row r="115" spans="1:4" x14ac:dyDescent="0.25">
      <c r="A115" t="s">
        <v>14</v>
      </c>
      <c r="B115" t="s">
        <v>27</v>
      </c>
      <c r="C115" t="s">
        <v>67</v>
      </c>
      <c r="D115" t="s">
        <v>93</v>
      </c>
    </row>
    <row r="116" spans="1:4" x14ac:dyDescent="0.25">
      <c r="A116" t="s">
        <v>11</v>
      </c>
      <c r="B116" t="s">
        <v>27</v>
      </c>
      <c r="C116" t="s">
        <v>65</v>
      </c>
      <c r="D116" t="s">
        <v>99</v>
      </c>
    </row>
    <row r="117" spans="1:4" x14ac:dyDescent="0.25">
      <c r="A117" t="s">
        <v>12</v>
      </c>
      <c r="B117" t="s">
        <v>27</v>
      </c>
      <c r="C117" t="s">
        <v>65</v>
      </c>
      <c r="D117" t="s">
        <v>94</v>
      </c>
    </row>
    <row r="118" spans="1:4" x14ac:dyDescent="0.25">
      <c r="A118" t="s">
        <v>6</v>
      </c>
      <c r="B118" t="s">
        <v>28</v>
      </c>
      <c r="C118" t="s">
        <v>54</v>
      </c>
      <c r="D118" t="s">
        <v>118</v>
      </c>
    </row>
    <row r="119" spans="1:4" x14ac:dyDescent="0.25">
      <c r="A119" t="s">
        <v>13</v>
      </c>
      <c r="B119" t="s">
        <v>28</v>
      </c>
      <c r="C119" t="s">
        <v>59</v>
      </c>
      <c r="D119" t="s">
        <v>125</v>
      </c>
    </row>
    <row r="120" spans="1:4" x14ac:dyDescent="0.25">
      <c r="A120" t="s">
        <v>7</v>
      </c>
      <c r="B120" t="s">
        <v>28</v>
      </c>
      <c r="C120" t="s">
        <v>59</v>
      </c>
      <c r="D120" t="s">
        <v>96</v>
      </c>
    </row>
    <row r="121" spans="1:4" x14ac:dyDescent="0.25">
      <c r="A121" t="s">
        <v>8</v>
      </c>
      <c r="B121" t="s">
        <v>28</v>
      </c>
      <c r="C121" t="s">
        <v>56</v>
      </c>
      <c r="D121" t="s">
        <v>126</v>
      </c>
    </row>
    <row r="122" spans="1:4" x14ac:dyDescent="0.25">
      <c r="A122" t="s">
        <v>9</v>
      </c>
      <c r="B122" t="s">
        <v>28</v>
      </c>
      <c r="C122" t="s">
        <v>61</v>
      </c>
      <c r="D122" t="s">
        <v>90</v>
      </c>
    </row>
    <row r="123" spans="1:4" x14ac:dyDescent="0.25">
      <c r="A123" t="s">
        <v>10</v>
      </c>
      <c r="B123" t="s">
        <v>28</v>
      </c>
      <c r="C123" t="s">
        <v>70</v>
      </c>
      <c r="D123" t="s">
        <v>105</v>
      </c>
    </row>
    <row r="124" spans="1:4" x14ac:dyDescent="0.25">
      <c r="A124" t="s">
        <v>14</v>
      </c>
      <c r="B124" t="s">
        <v>28</v>
      </c>
      <c r="C124" t="s">
        <v>59</v>
      </c>
      <c r="D124" t="s">
        <v>84</v>
      </c>
    </row>
    <row r="125" spans="1:4" x14ac:dyDescent="0.25">
      <c r="A125" t="s">
        <v>11</v>
      </c>
      <c r="B125" t="s">
        <v>28</v>
      </c>
      <c r="C125" t="s">
        <v>70</v>
      </c>
      <c r="D125" t="s">
        <v>127</v>
      </c>
    </row>
    <row r="126" spans="1:4" x14ac:dyDescent="0.25">
      <c r="A126" t="s">
        <v>12</v>
      </c>
      <c r="B126" t="s">
        <v>28</v>
      </c>
      <c r="C126" t="s">
        <v>67</v>
      </c>
      <c r="D126" t="s">
        <v>117</v>
      </c>
    </row>
    <row r="127" spans="1:4" x14ac:dyDescent="0.25">
      <c r="A127" t="s">
        <v>5</v>
      </c>
      <c r="B127" t="s">
        <v>29</v>
      </c>
      <c r="C127" t="s">
        <v>63</v>
      </c>
      <c r="D127" t="s">
        <v>110</v>
      </c>
    </row>
    <row r="128" spans="1:4" x14ac:dyDescent="0.25">
      <c r="A128" t="s">
        <v>6</v>
      </c>
      <c r="B128" t="s">
        <v>29</v>
      </c>
      <c r="C128" t="s">
        <v>72</v>
      </c>
      <c r="D128" t="s">
        <v>128</v>
      </c>
    </row>
    <row r="129" spans="1:4" x14ac:dyDescent="0.25">
      <c r="A129" t="s">
        <v>13</v>
      </c>
      <c r="B129" t="s">
        <v>29</v>
      </c>
      <c r="C129" t="s">
        <v>73</v>
      </c>
      <c r="D129" t="s">
        <v>112</v>
      </c>
    </row>
    <row r="130" spans="1:4" x14ac:dyDescent="0.25">
      <c r="A130" t="s">
        <v>7</v>
      </c>
      <c r="B130" t="s">
        <v>29</v>
      </c>
      <c r="C130" t="s">
        <v>59</v>
      </c>
      <c r="D130" t="s">
        <v>109</v>
      </c>
    </row>
    <row r="131" spans="1:4" x14ac:dyDescent="0.25">
      <c r="A131" t="s">
        <v>8</v>
      </c>
      <c r="B131" t="s">
        <v>29</v>
      </c>
      <c r="C131" t="s">
        <v>59</v>
      </c>
      <c r="D131" t="s">
        <v>122</v>
      </c>
    </row>
    <row r="132" spans="1:4" x14ac:dyDescent="0.25">
      <c r="A132" t="s">
        <v>9</v>
      </c>
      <c r="B132" t="s">
        <v>29</v>
      </c>
      <c r="C132" t="s">
        <v>66</v>
      </c>
      <c r="D132" t="s">
        <v>85</v>
      </c>
    </row>
    <row r="133" spans="1:4" x14ac:dyDescent="0.25">
      <c r="A133" t="s">
        <v>10</v>
      </c>
      <c r="B133" t="s">
        <v>29</v>
      </c>
      <c r="C133" t="s">
        <v>73</v>
      </c>
      <c r="D133" t="s">
        <v>93</v>
      </c>
    </row>
    <row r="134" spans="1:4" x14ac:dyDescent="0.25">
      <c r="A134" t="s">
        <v>14</v>
      </c>
      <c r="B134" t="s">
        <v>29</v>
      </c>
      <c r="C134" t="s">
        <v>56</v>
      </c>
      <c r="D134" t="s">
        <v>108</v>
      </c>
    </row>
    <row r="135" spans="1:4" x14ac:dyDescent="0.25">
      <c r="A135" t="s">
        <v>11</v>
      </c>
      <c r="B135" t="s">
        <v>29</v>
      </c>
      <c r="C135" t="s">
        <v>48</v>
      </c>
      <c r="D135" t="s">
        <v>129</v>
      </c>
    </row>
    <row r="136" spans="1:4" x14ac:dyDescent="0.25">
      <c r="A136" t="s">
        <v>12</v>
      </c>
      <c r="B136" t="s">
        <v>29</v>
      </c>
      <c r="C136" t="s">
        <v>62</v>
      </c>
      <c r="D136" t="s">
        <v>130</v>
      </c>
    </row>
    <row r="137" spans="1:4" x14ac:dyDescent="0.25">
      <c r="A137" t="s">
        <v>13</v>
      </c>
      <c r="B137" t="s">
        <v>30</v>
      </c>
      <c r="C137" t="s">
        <v>55</v>
      </c>
      <c r="D137" t="s">
        <v>82</v>
      </c>
    </row>
    <row r="138" spans="1:4" x14ac:dyDescent="0.25">
      <c r="A138" t="s">
        <v>7</v>
      </c>
      <c r="B138" t="s">
        <v>30</v>
      </c>
      <c r="C138" t="s">
        <v>60</v>
      </c>
      <c r="D138" t="s">
        <v>131</v>
      </c>
    </row>
    <row r="139" spans="1:4" x14ac:dyDescent="0.25">
      <c r="A139" t="s">
        <v>8</v>
      </c>
      <c r="B139" t="s">
        <v>30</v>
      </c>
      <c r="C139" t="s">
        <v>66</v>
      </c>
      <c r="D139" t="s">
        <v>128</v>
      </c>
    </row>
    <row r="140" spans="1:4" x14ac:dyDescent="0.25">
      <c r="A140" t="s">
        <v>9</v>
      </c>
      <c r="B140" t="s">
        <v>30</v>
      </c>
      <c r="C140" t="s">
        <v>48</v>
      </c>
      <c r="D140" t="s">
        <v>83</v>
      </c>
    </row>
    <row r="141" spans="1:4" x14ac:dyDescent="0.25">
      <c r="A141" t="s">
        <v>10</v>
      </c>
      <c r="B141" t="s">
        <v>30</v>
      </c>
      <c r="C141" t="s">
        <v>57</v>
      </c>
      <c r="D141" t="s">
        <v>112</v>
      </c>
    </row>
    <row r="142" spans="1:4" x14ac:dyDescent="0.25">
      <c r="A142" t="s">
        <v>14</v>
      </c>
      <c r="B142" t="s">
        <v>30</v>
      </c>
      <c r="C142" t="s">
        <v>72</v>
      </c>
      <c r="D142" t="s">
        <v>118</v>
      </c>
    </row>
    <row r="143" spans="1:4" x14ac:dyDescent="0.25">
      <c r="A143" t="s">
        <v>11</v>
      </c>
      <c r="B143" t="s">
        <v>30</v>
      </c>
      <c r="C143" t="s">
        <v>72</v>
      </c>
      <c r="D143" t="s">
        <v>109</v>
      </c>
    </row>
    <row r="144" spans="1:4" x14ac:dyDescent="0.25">
      <c r="A144" t="s">
        <v>6</v>
      </c>
      <c r="B144" t="s">
        <v>31</v>
      </c>
      <c r="C144" t="s">
        <v>52</v>
      </c>
      <c r="D144" t="s">
        <v>103</v>
      </c>
    </row>
    <row r="145" spans="1:4" x14ac:dyDescent="0.25">
      <c r="A145" t="s">
        <v>13</v>
      </c>
      <c r="B145" t="s">
        <v>31</v>
      </c>
      <c r="C145" t="s">
        <v>73</v>
      </c>
      <c r="D145" t="s">
        <v>118</v>
      </c>
    </row>
    <row r="146" spans="1:4" x14ac:dyDescent="0.25">
      <c r="A146" t="s">
        <v>7</v>
      </c>
      <c r="B146" t="s">
        <v>31</v>
      </c>
      <c r="C146" t="s">
        <v>50</v>
      </c>
      <c r="D146" t="s">
        <v>105</v>
      </c>
    </row>
    <row r="147" spans="1:4" x14ac:dyDescent="0.25">
      <c r="A147" t="s">
        <v>8</v>
      </c>
      <c r="B147" t="s">
        <v>31</v>
      </c>
      <c r="C147" t="s">
        <v>67</v>
      </c>
      <c r="D147" t="s">
        <v>118</v>
      </c>
    </row>
    <row r="148" spans="1:4" x14ac:dyDescent="0.25">
      <c r="A148" t="s">
        <v>10</v>
      </c>
      <c r="B148" t="s">
        <v>31</v>
      </c>
      <c r="C148" t="s">
        <v>46</v>
      </c>
      <c r="D148" t="s">
        <v>85</v>
      </c>
    </row>
    <row r="149" spans="1:4" x14ac:dyDescent="0.25">
      <c r="A149" t="s">
        <v>14</v>
      </c>
      <c r="B149" t="s">
        <v>31</v>
      </c>
      <c r="C149" t="s">
        <v>56</v>
      </c>
      <c r="D149" t="s">
        <v>125</v>
      </c>
    </row>
    <row r="150" spans="1:4" x14ac:dyDescent="0.25">
      <c r="A150" t="s">
        <v>11</v>
      </c>
      <c r="B150" t="s">
        <v>31</v>
      </c>
      <c r="C150" t="s">
        <v>51</v>
      </c>
      <c r="D150" t="s">
        <v>86</v>
      </c>
    </row>
    <row r="151" spans="1:4" x14ac:dyDescent="0.25">
      <c r="A151" t="s">
        <v>12</v>
      </c>
      <c r="B151" t="s">
        <v>31</v>
      </c>
      <c r="C151" t="s">
        <v>49</v>
      </c>
      <c r="D151" t="s">
        <v>103</v>
      </c>
    </row>
    <row r="152" spans="1:4" x14ac:dyDescent="0.25">
      <c r="A152" t="s">
        <v>5</v>
      </c>
      <c r="B152" t="s">
        <v>32</v>
      </c>
      <c r="C152" t="s">
        <v>61</v>
      </c>
      <c r="D152" t="s">
        <v>131</v>
      </c>
    </row>
    <row r="153" spans="1:4" x14ac:dyDescent="0.25">
      <c r="A153" t="s">
        <v>13</v>
      </c>
      <c r="B153" t="s">
        <v>32</v>
      </c>
      <c r="C153" t="s">
        <v>52</v>
      </c>
      <c r="D153" t="s">
        <v>132</v>
      </c>
    </row>
    <row r="154" spans="1:4" x14ac:dyDescent="0.25">
      <c r="A154" t="s">
        <v>7</v>
      </c>
      <c r="B154" t="s">
        <v>32</v>
      </c>
      <c r="C154" t="s">
        <v>49</v>
      </c>
      <c r="D154" t="s">
        <v>113</v>
      </c>
    </row>
    <row r="155" spans="1:4" x14ac:dyDescent="0.25">
      <c r="A155" t="s">
        <v>8</v>
      </c>
      <c r="B155" t="s">
        <v>32</v>
      </c>
      <c r="C155" t="s">
        <v>65</v>
      </c>
      <c r="D155" t="s">
        <v>127</v>
      </c>
    </row>
    <row r="156" spans="1:4" x14ac:dyDescent="0.25">
      <c r="A156" t="s">
        <v>9</v>
      </c>
      <c r="B156" t="s">
        <v>32</v>
      </c>
      <c r="C156" t="s">
        <v>59</v>
      </c>
      <c r="D156" t="s">
        <v>133</v>
      </c>
    </row>
    <row r="157" spans="1:4" x14ac:dyDescent="0.25">
      <c r="A157" t="s">
        <v>10</v>
      </c>
      <c r="B157" t="s">
        <v>32</v>
      </c>
      <c r="C157" t="s">
        <v>58</v>
      </c>
      <c r="D157" t="s">
        <v>83</v>
      </c>
    </row>
    <row r="158" spans="1:4" x14ac:dyDescent="0.25">
      <c r="A158" t="s">
        <v>14</v>
      </c>
      <c r="B158" t="s">
        <v>32</v>
      </c>
      <c r="C158" t="s">
        <v>58</v>
      </c>
      <c r="D158" t="s">
        <v>106</v>
      </c>
    </row>
    <row r="159" spans="1:4" x14ac:dyDescent="0.25">
      <c r="A159" t="s">
        <v>11</v>
      </c>
      <c r="B159" t="s">
        <v>32</v>
      </c>
      <c r="C159" t="s">
        <v>49</v>
      </c>
      <c r="D159" t="s">
        <v>100</v>
      </c>
    </row>
    <row r="160" spans="1:4" x14ac:dyDescent="0.25">
      <c r="A160" t="s">
        <v>12</v>
      </c>
      <c r="B160" t="s">
        <v>32</v>
      </c>
      <c r="C160" t="s">
        <v>58</v>
      </c>
      <c r="D160" t="s">
        <v>79</v>
      </c>
    </row>
    <row r="161" spans="1:4" x14ac:dyDescent="0.25">
      <c r="A161" t="s">
        <v>5</v>
      </c>
      <c r="B161" t="s">
        <v>33</v>
      </c>
      <c r="C161" t="s">
        <v>58</v>
      </c>
      <c r="D161" t="s">
        <v>107</v>
      </c>
    </row>
    <row r="162" spans="1:4" x14ac:dyDescent="0.25">
      <c r="A162" t="s">
        <v>6</v>
      </c>
      <c r="B162" t="s">
        <v>33</v>
      </c>
      <c r="C162" t="s">
        <v>62</v>
      </c>
      <c r="D162" t="s">
        <v>110</v>
      </c>
    </row>
    <row r="163" spans="1:4" x14ac:dyDescent="0.25">
      <c r="A163" t="s">
        <v>13</v>
      </c>
      <c r="B163" t="s">
        <v>33</v>
      </c>
      <c r="C163" t="s">
        <v>59</v>
      </c>
      <c r="D163" t="s">
        <v>89</v>
      </c>
    </row>
    <row r="164" spans="1:4" x14ac:dyDescent="0.25">
      <c r="A164" t="s">
        <v>7</v>
      </c>
      <c r="B164" t="s">
        <v>33</v>
      </c>
      <c r="C164" t="s">
        <v>67</v>
      </c>
      <c r="D164" t="s">
        <v>82</v>
      </c>
    </row>
    <row r="165" spans="1:4" x14ac:dyDescent="0.25">
      <c r="A165" t="s">
        <v>9</v>
      </c>
      <c r="B165" t="s">
        <v>33</v>
      </c>
      <c r="C165" t="s">
        <v>56</v>
      </c>
      <c r="D165" t="s">
        <v>110</v>
      </c>
    </row>
    <row r="166" spans="1:4" x14ac:dyDescent="0.25">
      <c r="A166" t="s">
        <v>10</v>
      </c>
      <c r="B166" t="s">
        <v>33</v>
      </c>
      <c r="C166" t="s">
        <v>47</v>
      </c>
      <c r="D166" t="s">
        <v>101</v>
      </c>
    </row>
    <row r="167" spans="1:4" x14ac:dyDescent="0.25">
      <c r="A167" t="s">
        <v>14</v>
      </c>
      <c r="B167" t="s">
        <v>33</v>
      </c>
      <c r="C167" t="s">
        <v>74</v>
      </c>
      <c r="D167" t="s">
        <v>110</v>
      </c>
    </row>
    <row r="168" spans="1:4" x14ac:dyDescent="0.25">
      <c r="A168" t="s">
        <v>12</v>
      </c>
      <c r="B168" t="s">
        <v>33</v>
      </c>
      <c r="C168" t="s">
        <v>59</v>
      </c>
      <c r="D168" t="s">
        <v>79</v>
      </c>
    </row>
    <row r="169" spans="1:4" x14ac:dyDescent="0.25">
      <c r="A169" t="s">
        <v>5</v>
      </c>
      <c r="B169" t="s">
        <v>34</v>
      </c>
      <c r="C169" t="s">
        <v>63</v>
      </c>
      <c r="D169" t="s">
        <v>107</v>
      </c>
    </row>
    <row r="170" spans="1:4" x14ac:dyDescent="0.25">
      <c r="A170" t="s">
        <v>6</v>
      </c>
      <c r="B170" t="s">
        <v>34</v>
      </c>
      <c r="C170" t="s">
        <v>49</v>
      </c>
      <c r="D170" t="s">
        <v>83</v>
      </c>
    </row>
    <row r="171" spans="1:4" x14ac:dyDescent="0.25">
      <c r="A171" t="s">
        <v>13</v>
      </c>
      <c r="B171" t="s">
        <v>34</v>
      </c>
      <c r="C171" t="s">
        <v>69</v>
      </c>
      <c r="D171" t="s">
        <v>134</v>
      </c>
    </row>
    <row r="172" spans="1:4" x14ac:dyDescent="0.25">
      <c r="A172" t="s">
        <v>7</v>
      </c>
      <c r="B172" t="s">
        <v>34</v>
      </c>
      <c r="C172" t="s">
        <v>70</v>
      </c>
      <c r="D172" t="s">
        <v>121</v>
      </c>
    </row>
    <row r="173" spans="1:4" x14ac:dyDescent="0.25">
      <c r="A173" t="s">
        <v>8</v>
      </c>
      <c r="B173" t="s">
        <v>34</v>
      </c>
      <c r="C173" t="s">
        <v>46</v>
      </c>
      <c r="D173" t="s">
        <v>91</v>
      </c>
    </row>
    <row r="174" spans="1:4" x14ac:dyDescent="0.25">
      <c r="A174" t="s">
        <v>9</v>
      </c>
      <c r="B174" t="s">
        <v>34</v>
      </c>
      <c r="C174" t="s">
        <v>54</v>
      </c>
      <c r="D174" t="s">
        <v>113</v>
      </c>
    </row>
    <row r="175" spans="1:4" x14ac:dyDescent="0.25">
      <c r="A175" t="s">
        <v>11</v>
      </c>
      <c r="B175" t="s">
        <v>34</v>
      </c>
      <c r="C175" t="s">
        <v>47</v>
      </c>
      <c r="D175" t="s">
        <v>99</v>
      </c>
    </row>
    <row r="176" spans="1:4" x14ac:dyDescent="0.25">
      <c r="A176" t="s">
        <v>12</v>
      </c>
      <c r="B176" t="s">
        <v>34</v>
      </c>
      <c r="C176" t="s">
        <v>52</v>
      </c>
      <c r="D176" t="s">
        <v>89</v>
      </c>
    </row>
    <row r="177" spans="1:4" x14ac:dyDescent="0.25">
      <c r="A177" t="s">
        <v>6</v>
      </c>
      <c r="B177" t="s">
        <v>35</v>
      </c>
      <c r="C177" t="s">
        <v>73</v>
      </c>
      <c r="D177" t="s">
        <v>113</v>
      </c>
    </row>
    <row r="178" spans="1:4" x14ac:dyDescent="0.25">
      <c r="A178" t="s">
        <v>7</v>
      </c>
      <c r="B178" t="s">
        <v>35</v>
      </c>
      <c r="C178" t="s">
        <v>74</v>
      </c>
      <c r="D178" t="s">
        <v>126</v>
      </c>
    </row>
    <row r="179" spans="1:4" x14ac:dyDescent="0.25">
      <c r="A179" t="s">
        <v>8</v>
      </c>
      <c r="B179" t="s">
        <v>35</v>
      </c>
      <c r="C179" t="s">
        <v>47</v>
      </c>
      <c r="D179" t="s">
        <v>126</v>
      </c>
    </row>
    <row r="180" spans="1:4" x14ac:dyDescent="0.25">
      <c r="A180" t="s">
        <v>9</v>
      </c>
      <c r="B180" t="s">
        <v>35</v>
      </c>
      <c r="C180" t="s">
        <v>62</v>
      </c>
      <c r="D180" t="s">
        <v>84</v>
      </c>
    </row>
    <row r="181" spans="1:4" x14ac:dyDescent="0.25">
      <c r="A181" t="s">
        <v>11</v>
      </c>
      <c r="B181" t="s">
        <v>35</v>
      </c>
      <c r="C181" t="s">
        <v>58</v>
      </c>
      <c r="D181" t="s">
        <v>133</v>
      </c>
    </row>
    <row r="182" spans="1:4" x14ac:dyDescent="0.25">
      <c r="A182" t="s">
        <v>12</v>
      </c>
      <c r="B182" t="s">
        <v>35</v>
      </c>
      <c r="C182" t="s">
        <v>67</v>
      </c>
      <c r="D182" t="s">
        <v>100</v>
      </c>
    </row>
    <row r="183" spans="1:4" x14ac:dyDescent="0.25">
      <c r="A183" t="s">
        <v>6</v>
      </c>
      <c r="B183" t="s">
        <v>36</v>
      </c>
      <c r="C183" t="s">
        <v>62</v>
      </c>
      <c r="D183" t="s">
        <v>81</v>
      </c>
    </row>
    <row r="184" spans="1:4" x14ac:dyDescent="0.25">
      <c r="A184" t="s">
        <v>13</v>
      </c>
      <c r="B184" t="s">
        <v>36</v>
      </c>
      <c r="C184" t="s">
        <v>55</v>
      </c>
      <c r="D184" t="s">
        <v>130</v>
      </c>
    </row>
    <row r="185" spans="1:4" x14ac:dyDescent="0.25">
      <c r="A185" t="s">
        <v>7</v>
      </c>
      <c r="B185" t="s">
        <v>36</v>
      </c>
      <c r="C185" t="s">
        <v>52</v>
      </c>
      <c r="D185" t="s">
        <v>121</v>
      </c>
    </row>
    <row r="186" spans="1:4" x14ac:dyDescent="0.25">
      <c r="A186" t="s">
        <v>8</v>
      </c>
      <c r="B186" t="s">
        <v>36</v>
      </c>
      <c r="C186" t="s">
        <v>49</v>
      </c>
      <c r="D186" t="s">
        <v>111</v>
      </c>
    </row>
    <row r="187" spans="1:4" x14ac:dyDescent="0.25">
      <c r="A187" t="s">
        <v>9</v>
      </c>
      <c r="B187" t="s">
        <v>36</v>
      </c>
      <c r="C187" t="s">
        <v>48</v>
      </c>
      <c r="D187" t="s">
        <v>132</v>
      </c>
    </row>
    <row r="188" spans="1:4" x14ac:dyDescent="0.25">
      <c r="A188" t="s">
        <v>14</v>
      </c>
      <c r="B188" t="s">
        <v>36</v>
      </c>
      <c r="C188" t="s">
        <v>50</v>
      </c>
      <c r="D188" t="s">
        <v>107</v>
      </c>
    </row>
    <row r="189" spans="1:4" x14ac:dyDescent="0.25">
      <c r="A189" t="s">
        <v>11</v>
      </c>
      <c r="B189" t="s">
        <v>36</v>
      </c>
      <c r="C189" t="s">
        <v>67</v>
      </c>
      <c r="D189" t="s">
        <v>93</v>
      </c>
    </row>
    <row r="190" spans="1:4" x14ac:dyDescent="0.25">
      <c r="A190" t="s">
        <v>12</v>
      </c>
      <c r="B190" t="s">
        <v>36</v>
      </c>
      <c r="C190" t="s">
        <v>62</v>
      </c>
      <c r="D190" t="s">
        <v>102</v>
      </c>
    </row>
    <row r="191" spans="1:4" x14ac:dyDescent="0.25">
      <c r="A191" t="s">
        <v>5</v>
      </c>
      <c r="B191" t="s">
        <v>37</v>
      </c>
      <c r="C191" t="s">
        <v>51</v>
      </c>
      <c r="D191" t="s">
        <v>110</v>
      </c>
    </row>
    <row r="192" spans="1:4" x14ac:dyDescent="0.25">
      <c r="A192" t="s">
        <v>6</v>
      </c>
      <c r="B192" t="s">
        <v>37</v>
      </c>
      <c r="C192" t="s">
        <v>68</v>
      </c>
      <c r="D192" t="s">
        <v>121</v>
      </c>
    </row>
    <row r="193" spans="1:4" x14ac:dyDescent="0.25">
      <c r="A193" t="s">
        <v>7</v>
      </c>
      <c r="B193" t="s">
        <v>37</v>
      </c>
      <c r="C193" t="s">
        <v>60</v>
      </c>
      <c r="D193" t="s">
        <v>135</v>
      </c>
    </row>
    <row r="194" spans="1:4" x14ac:dyDescent="0.25">
      <c r="A194" t="s">
        <v>8</v>
      </c>
      <c r="B194" t="s">
        <v>37</v>
      </c>
      <c r="C194" t="s">
        <v>75</v>
      </c>
      <c r="D194" t="s">
        <v>119</v>
      </c>
    </row>
    <row r="195" spans="1:4" x14ac:dyDescent="0.25">
      <c r="A195" t="s">
        <v>9</v>
      </c>
      <c r="B195" t="s">
        <v>37</v>
      </c>
      <c r="C195" t="s">
        <v>56</v>
      </c>
      <c r="D195" t="s">
        <v>105</v>
      </c>
    </row>
    <row r="196" spans="1:4" x14ac:dyDescent="0.25">
      <c r="A196" t="s">
        <v>14</v>
      </c>
      <c r="B196" t="s">
        <v>37</v>
      </c>
      <c r="C196" t="s">
        <v>59</v>
      </c>
      <c r="D196" t="s">
        <v>86</v>
      </c>
    </row>
    <row r="197" spans="1:4" x14ac:dyDescent="0.25">
      <c r="A197" t="s">
        <v>11</v>
      </c>
      <c r="B197" t="s">
        <v>37</v>
      </c>
      <c r="C197" t="s">
        <v>76</v>
      </c>
      <c r="D197" t="s">
        <v>93</v>
      </c>
    </row>
    <row r="198" spans="1:4" x14ac:dyDescent="0.25">
      <c r="A198" t="s">
        <v>12</v>
      </c>
      <c r="B198" t="s">
        <v>37</v>
      </c>
      <c r="C198" t="s">
        <v>60</v>
      </c>
      <c r="D198" t="s">
        <v>97</v>
      </c>
    </row>
    <row r="199" spans="1:4" x14ac:dyDescent="0.25">
      <c r="A199" t="s">
        <v>6</v>
      </c>
      <c r="B199" t="s">
        <v>38</v>
      </c>
      <c r="C199" t="s">
        <v>72</v>
      </c>
      <c r="D199" t="s">
        <v>128</v>
      </c>
    </row>
    <row r="200" spans="1:4" x14ac:dyDescent="0.25">
      <c r="A200" t="s">
        <v>13</v>
      </c>
      <c r="B200" t="s">
        <v>38</v>
      </c>
      <c r="C200" t="s">
        <v>75</v>
      </c>
      <c r="D200" t="s">
        <v>134</v>
      </c>
    </row>
    <row r="201" spans="1:4" x14ac:dyDescent="0.25">
      <c r="A201" t="s">
        <v>7</v>
      </c>
      <c r="B201" t="s">
        <v>38</v>
      </c>
      <c r="C201" t="s">
        <v>56</v>
      </c>
      <c r="D201" t="s">
        <v>122</v>
      </c>
    </row>
    <row r="202" spans="1:4" x14ac:dyDescent="0.25">
      <c r="A202" t="s">
        <v>8</v>
      </c>
      <c r="B202" t="s">
        <v>38</v>
      </c>
      <c r="C202" t="s">
        <v>55</v>
      </c>
      <c r="D202" t="s">
        <v>112</v>
      </c>
    </row>
    <row r="203" spans="1:4" x14ac:dyDescent="0.25">
      <c r="A203" t="s">
        <v>9</v>
      </c>
      <c r="B203" t="s">
        <v>38</v>
      </c>
      <c r="C203" t="s">
        <v>72</v>
      </c>
      <c r="D203" t="s">
        <v>131</v>
      </c>
    </row>
    <row r="204" spans="1:4" x14ac:dyDescent="0.25">
      <c r="A204" t="s">
        <v>10</v>
      </c>
      <c r="B204" t="s">
        <v>38</v>
      </c>
      <c r="C204" t="s">
        <v>71</v>
      </c>
      <c r="D204" t="s">
        <v>115</v>
      </c>
    </row>
    <row r="205" spans="1:4" x14ac:dyDescent="0.25">
      <c r="A205" t="s">
        <v>14</v>
      </c>
      <c r="B205" t="s">
        <v>38</v>
      </c>
      <c r="C205" t="s">
        <v>51</v>
      </c>
      <c r="D205" t="s">
        <v>98</v>
      </c>
    </row>
    <row r="206" spans="1:4" x14ac:dyDescent="0.25">
      <c r="A206" t="s">
        <v>11</v>
      </c>
      <c r="B206" t="s">
        <v>38</v>
      </c>
      <c r="C206" t="s">
        <v>54</v>
      </c>
      <c r="D206" t="s">
        <v>96</v>
      </c>
    </row>
    <row r="207" spans="1:4" x14ac:dyDescent="0.25">
      <c r="A207" t="s">
        <v>5</v>
      </c>
      <c r="B207" t="s">
        <v>39</v>
      </c>
      <c r="C207" t="s">
        <v>68</v>
      </c>
      <c r="D207" t="s">
        <v>121</v>
      </c>
    </row>
    <row r="208" spans="1:4" x14ac:dyDescent="0.25">
      <c r="A208" t="s">
        <v>6</v>
      </c>
      <c r="B208" t="s">
        <v>39</v>
      </c>
      <c r="C208" t="s">
        <v>65</v>
      </c>
      <c r="D208" t="s">
        <v>83</v>
      </c>
    </row>
    <row r="209" spans="1:4" x14ac:dyDescent="0.25">
      <c r="A209" t="s">
        <v>13</v>
      </c>
      <c r="B209" t="s">
        <v>39</v>
      </c>
      <c r="C209" t="s">
        <v>61</v>
      </c>
      <c r="D209" t="s">
        <v>111</v>
      </c>
    </row>
    <row r="210" spans="1:4" x14ac:dyDescent="0.25">
      <c r="A210" t="s">
        <v>7</v>
      </c>
      <c r="B210" t="s">
        <v>39</v>
      </c>
      <c r="C210" t="s">
        <v>62</v>
      </c>
      <c r="D210" t="s">
        <v>93</v>
      </c>
    </row>
    <row r="211" spans="1:4" x14ac:dyDescent="0.25">
      <c r="A211" t="s">
        <v>8</v>
      </c>
      <c r="B211" t="s">
        <v>39</v>
      </c>
      <c r="C211" t="s">
        <v>51</v>
      </c>
      <c r="D211" t="s">
        <v>134</v>
      </c>
    </row>
    <row r="212" spans="1:4" x14ac:dyDescent="0.25">
      <c r="A212" t="s">
        <v>14</v>
      </c>
      <c r="B212" t="s">
        <v>39</v>
      </c>
      <c r="C212" t="s">
        <v>52</v>
      </c>
      <c r="D212" t="s">
        <v>130</v>
      </c>
    </row>
    <row r="213" spans="1:4" x14ac:dyDescent="0.25">
      <c r="A213" t="s">
        <v>11</v>
      </c>
      <c r="B213" t="s">
        <v>39</v>
      </c>
      <c r="C213" t="s">
        <v>62</v>
      </c>
      <c r="D213" t="s">
        <v>98</v>
      </c>
    </row>
    <row r="214" spans="1:4" x14ac:dyDescent="0.25">
      <c r="A214" t="s">
        <v>12</v>
      </c>
      <c r="B214" t="s">
        <v>39</v>
      </c>
      <c r="C214" t="s">
        <v>74</v>
      </c>
      <c r="D214" t="s">
        <v>91</v>
      </c>
    </row>
    <row r="215" spans="1:4" x14ac:dyDescent="0.25">
      <c r="A215" t="s">
        <v>5</v>
      </c>
      <c r="B215" t="s">
        <v>40</v>
      </c>
      <c r="C215" t="s">
        <v>50</v>
      </c>
      <c r="D215" t="s">
        <v>108</v>
      </c>
    </row>
    <row r="216" spans="1:4" x14ac:dyDescent="0.25">
      <c r="A216" t="s">
        <v>6</v>
      </c>
      <c r="B216" t="s">
        <v>40</v>
      </c>
      <c r="C216" t="s">
        <v>65</v>
      </c>
      <c r="D216" t="s">
        <v>126</v>
      </c>
    </row>
    <row r="217" spans="1:4" x14ac:dyDescent="0.25">
      <c r="A217" t="s">
        <v>13</v>
      </c>
      <c r="B217" t="s">
        <v>40</v>
      </c>
      <c r="C217" t="s">
        <v>48</v>
      </c>
      <c r="D217" t="s">
        <v>83</v>
      </c>
    </row>
    <row r="218" spans="1:4" x14ac:dyDescent="0.25">
      <c r="A218" t="s">
        <v>7</v>
      </c>
      <c r="B218" t="s">
        <v>40</v>
      </c>
      <c r="C218" t="s">
        <v>54</v>
      </c>
      <c r="D218" t="s">
        <v>93</v>
      </c>
    </row>
    <row r="219" spans="1:4" x14ac:dyDescent="0.25">
      <c r="A219" t="s">
        <v>8</v>
      </c>
      <c r="B219" t="s">
        <v>40</v>
      </c>
      <c r="C219" t="s">
        <v>69</v>
      </c>
      <c r="D219" t="s">
        <v>132</v>
      </c>
    </row>
    <row r="220" spans="1:4" x14ac:dyDescent="0.25">
      <c r="A220" t="s">
        <v>9</v>
      </c>
      <c r="B220" t="s">
        <v>40</v>
      </c>
      <c r="C220" t="s">
        <v>64</v>
      </c>
      <c r="D220" t="s">
        <v>129</v>
      </c>
    </row>
    <row r="221" spans="1:4" x14ac:dyDescent="0.25">
      <c r="A221" t="s">
        <v>10</v>
      </c>
      <c r="B221" t="s">
        <v>40</v>
      </c>
      <c r="C221" t="s">
        <v>65</v>
      </c>
      <c r="D221" t="s">
        <v>101</v>
      </c>
    </row>
    <row r="222" spans="1:4" x14ac:dyDescent="0.25">
      <c r="A222" t="s">
        <v>14</v>
      </c>
      <c r="B222" t="s">
        <v>40</v>
      </c>
      <c r="C222" t="s">
        <v>47</v>
      </c>
      <c r="D222" t="s">
        <v>108</v>
      </c>
    </row>
    <row r="223" spans="1:4" x14ac:dyDescent="0.25">
      <c r="A223" t="s">
        <v>11</v>
      </c>
      <c r="B223" t="s">
        <v>40</v>
      </c>
      <c r="C223" t="s">
        <v>65</v>
      </c>
      <c r="D223" t="s">
        <v>129</v>
      </c>
    </row>
    <row r="224" spans="1:4" x14ac:dyDescent="0.25">
      <c r="A224" t="s">
        <v>12</v>
      </c>
      <c r="B224" t="s">
        <v>40</v>
      </c>
      <c r="C224" t="s">
        <v>75</v>
      </c>
      <c r="D224" t="s">
        <v>101</v>
      </c>
    </row>
    <row r="225" spans="1:4" x14ac:dyDescent="0.25">
      <c r="A225" t="s">
        <v>5</v>
      </c>
      <c r="B225" t="s">
        <v>41</v>
      </c>
      <c r="C225" t="s">
        <v>64</v>
      </c>
      <c r="D225" t="s">
        <v>103</v>
      </c>
    </row>
    <row r="226" spans="1:4" x14ac:dyDescent="0.25">
      <c r="A226" t="s">
        <v>13</v>
      </c>
      <c r="B226" t="s">
        <v>41</v>
      </c>
      <c r="C226" t="s">
        <v>70</v>
      </c>
      <c r="D226" t="s">
        <v>114</v>
      </c>
    </row>
    <row r="227" spans="1:4" x14ac:dyDescent="0.25">
      <c r="A227" t="s">
        <v>7</v>
      </c>
      <c r="B227" t="s">
        <v>41</v>
      </c>
      <c r="C227" t="s">
        <v>57</v>
      </c>
      <c r="D227" t="s">
        <v>134</v>
      </c>
    </row>
    <row r="228" spans="1:4" x14ac:dyDescent="0.25">
      <c r="A228" t="s">
        <v>8</v>
      </c>
      <c r="B228" t="s">
        <v>41</v>
      </c>
      <c r="C228" t="s">
        <v>67</v>
      </c>
      <c r="D228" t="s">
        <v>117</v>
      </c>
    </row>
    <row r="229" spans="1:4" x14ac:dyDescent="0.25">
      <c r="A229" t="s">
        <v>10</v>
      </c>
      <c r="B229" t="s">
        <v>41</v>
      </c>
      <c r="C229" t="s">
        <v>57</v>
      </c>
      <c r="D229" t="s">
        <v>124</v>
      </c>
    </row>
    <row r="230" spans="1:4" x14ac:dyDescent="0.25">
      <c r="A230" t="s">
        <v>14</v>
      </c>
      <c r="B230" t="s">
        <v>41</v>
      </c>
      <c r="C230" t="s">
        <v>71</v>
      </c>
      <c r="D230" t="s">
        <v>80</v>
      </c>
    </row>
    <row r="231" spans="1:4" x14ac:dyDescent="0.25">
      <c r="A231" t="s">
        <v>11</v>
      </c>
      <c r="B231" t="s">
        <v>41</v>
      </c>
      <c r="C231" t="s">
        <v>70</v>
      </c>
      <c r="D231" t="s">
        <v>103</v>
      </c>
    </row>
    <row r="232" spans="1:4" x14ac:dyDescent="0.25">
      <c r="A232" t="s">
        <v>12</v>
      </c>
      <c r="B232" t="s">
        <v>41</v>
      </c>
      <c r="C232" t="s">
        <v>73</v>
      </c>
      <c r="D232" t="s">
        <v>116</v>
      </c>
    </row>
    <row r="233" spans="1:4" x14ac:dyDescent="0.25">
      <c r="A233" t="s">
        <v>5</v>
      </c>
      <c r="B233" t="s">
        <v>42</v>
      </c>
      <c r="C233" t="s">
        <v>46</v>
      </c>
      <c r="D233" t="s">
        <v>119</v>
      </c>
    </row>
    <row r="234" spans="1:4" x14ac:dyDescent="0.25">
      <c r="A234" t="s">
        <v>6</v>
      </c>
      <c r="B234" t="s">
        <v>42</v>
      </c>
      <c r="C234" t="s">
        <v>71</v>
      </c>
      <c r="D234" t="s">
        <v>128</v>
      </c>
    </row>
    <row r="235" spans="1:4" x14ac:dyDescent="0.25">
      <c r="A235" t="s">
        <v>13</v>
      </c>
      <c r="B235" t="s">
        <v>42</v>
      </c>
      <c r="C235" t="s">
        <v>61</v>
      </c>
      <c r="D235" t="s">
        <v>88</v>
      </c>
    </row>
    <row r="236" spans="1:4" x14ac:dyDescent="0.25">
      <c r="A236" t="s">
        <v>7</v>
      </c>
      <c r="B236" t="s">
        <v>42</v>
      </c>
      <c r="C236" t="s">
        <v>60</v>
      </c>
      <c r="D236" t="s">
        <v>119</v>
      </c>
    </row>
    <row r="237" spans="1:4" x14ac:dyDescent="0.25">
      <c r="A237" t="s">
        <v>8</v>
      </c>
      <c r="B237" t="s">
        <v>42</v>
      </c>
      <c r="C237" t="s">
        <v>63</v>
      </c>
      <c r="D237" t="s">
        <v>105</v>
      </c>
    </row>
    <row r="238" spans="1:4" x14ac:dyDescent="0.25">
      <c r="A238" t="s">
        <v>9</v>
      </c>
      <c r="B238" t="s">
        <v>42</v>
      </c>
      <c r="C238" t="s">
        <v>49</v>
      </c>
      <c r="D238" t="s">
        <v>135</v>
      </c>
    </row>
    <row r="239" spans="1:4" x14ac:dyDescent="0.25">
      <c r="A239" t="s">
        <v>10</v>
      </c>
      <c r="B239" t="s">
        <v>42</v>
      </c>
      <c r="C239" t="s">
        <v>61</v>
      </c>
      <c r="D239" t="s">
        <v>107</v>
      </c>
    </row>
    <row r="240" spans="1:4" x14ac:dyDescent="0.25">
      <c r="A240" t="s">
        <v>14</v>
      </c>
      <c r="B240" t="s">
        <v>42</v>
      </c>
      <c r="C240" t="s">
        <v>61</v>
      </c>
      <c r="D240" t="s">
        <v>110</v>
      </c>
    </row>
    <row r="241" spans="1:4" x14ac:dyDescent="0.25">
      <c r="A241" t="s">
        <v>12</v>
      </c>
      <c r="B241" t="s">
        <v>42</v>
      </c>
      <c r="C241" t="s">
        <v>54</v>
      </c>
      <c r="D241" t="s">
        <v>98</v>
      </c>
    </row>
    <row r="242" spans="1:4" x14ac:dyDescent="0.25">
      <c r="A242" t="s">
        <v>5</v>
      </c>
      <c r="B242" t="s">
        <v>43</v>
      </c>
      <c r="C242" t="s">
        <v>55</v>
      </c>
      <c r="D242" t="s">
        <v>118</v>
      </c>
    </row>
    <row r="243" spans="1:4" x14ac:dyDescent="0.25">
      <c r="A243" t="s">
        <v>6</v>
      </c>
      <c r="B243" t="s">
        <v>43</v>
      </c>
      <c r="C243" t="s">
        <v>69</v>
      </c>
      <c r="D243" t="s">
        <v>126</v>
      </c>
    </row>
    <row r="244" spans="1:4" x14ac:dyDescent="0.25">
      <c r="A244" t="s">
        <v>13</v>
      </c>
      <c r="B244" t="s">
        <v>43</v>
      </c>
      <c r="C244" t="s">
        <v>64</v>
      </c>
      <c r="D244" t="s">
        <v>131</v>
      </c>
    </row>
    <row r="245" spans="1:4" x14ac:dyDescent="0.25">
      <c r="A245" t="s">
        <v>7</v>
      </c>
      <c r="B245" t="s">
        <v>43</v>
      </c>
      <c r="C245" t="s">
        <v>55</v>
      </c>
      <c r="D245" t="s">
        <v>121</v>
      </c>
    </row>
    <row r="246" spans="1:4" x14ac:dyDescent="0.25">
      <c r="A246" t="s">
        <v>9</v>
      </c>
      <c r="B246" t="s">
        <v>43</v>
      </c>
      <c r="C246" t="s">
        <v>50</v>
      </c>
      <c r="D246" t="s">
        <v>77</v>
      </c>
    </row>
    <row r="247" spans="1:4" x14ac:dyDescent="0.25">
      <c r="A247" t="s">
        <v>10</v>
      </c>
      <c r="B247" t="s">
        <v>43</v>
      </c>
      <c r="C247" t="s">
        <v>75</v>
      </c>
      <c r="D247" t="s">
        <v>107</v>
      </c>
    </row>
    <row r="248" spans="1:4" x14ac:dyDescent="0.25">
      <c r="A248" t="s">
        <v>14</v>
      </c>
      <c r="B248" t="s">
        <v>43</v>
      </c>
      <c r="C248" t="s">
        <v>65</v>
      </c>
      <c r="D248" t="s">
        <v>129</v>
      </c>
    </row>
    <row r="249" spans="1:4" x14ac:dyDescent="0.25">
      <c r="A249" t="s">
        <v>11</v>
      </c>
      <c r="B249" t="s">
        <v>43</v>
      </c>
      <c r="C249" t="s">
        <v>68</v>
      </c>
      <c r="D249" t="s">
        <v>109</v>
      </c>
    </row>
    <row r="250" spans="1:4" x14ac:dyDescent="0.25">
      <c r="A250" t="s">
        <v>12</v>
      </c>
      <c r="B250" t="s">
        <v>43</v>
      </c>
      <c r="C250" t="s">
        <v>60</v>
      </c>
      <c r="D250" t="s">
        <v>102</v>
      </c>
    </row>
    <row r="251" spans="1:4" x14ac:dyDescent="0.25">
      <c r="A251" t="s">
        <v>5</v>
      </c>
      <c r="B251" t="s">
        <v>44</v>
      </c>
      <c r="C251" t="s">
        <v>75</v>
      </c>
      <c r="D251" t="s">
        <v>103</v>
      </c>
    </row>
    <row r="252" spans="1:4" x14ac:dyDescent="0.25">
      <c r="A252" t="s">
        <v>6</v>
      </c>
      <c r="B252" t="s">
        <v>44</v>
      </c>
      <c r="C252" t="s">
        <v>59</v>
      </c>
      <c r="D252" t="s">
        <v>100</v>
      </c>
    </row>
    <row r="253" spans="1:4" x14ac:dyDescent="0.25">
      <c r="A253" t="s">
        <v>13</v>
      </c>
      <c r="B253" t="s">
        <v>44</v>
      </c>
      <c r="C253" t="s">
        <v>57</v>
      </c>
      <c r="D253" t="s">
        <v>115</v>
      </c>
    </row>
    <row r="254" spans="1:4" x14ac:dyDescent="0.25">
      <c r="A254" t="s">
        <v>7</v>
      </c>
      <c r="B254" t="s">
        <v>44</v>
      </c>
      <c r="C254" t="s">
        <v>54</v>
      </c>
      <c r="D254" t="s">
        <v>84</v>
      </c>
    </row>
    <row r="255" spans="1:4" x14ac:dyDescent="0.25">
      <c r="A255" t="s">
        <v>8</v>
      </c>
      <c r="B255" t="s">
        <v>44</v>
      </c>
      <c r="C255" t="s">
        <v>68</v>
      </c>
      <c r="D255" t="s">
        <v>98</v>
      </c>
    </row>
    <row r="256" spans="1:4" x14ac:dyDescent="0.25">
      <c r="A256" t="s">
        <v>9</v>
      </c>
      <c r="B256" t="s">
        <v>44</v>
      </c>
      <c r="C256" t="s">
        <v>62</v>
      </c>
      <c r="D256" t="s">
        <v>106</v>
      </c>
    </row>
    <row r="257" spans="1:4" x14ac:dyDescent="0.25">
      <c r="A257" t="s">
        <v>10</v>
      </c>
      <c r="B257" t="s">
        <v>44</v>
      </c>
      <c r="C257" t="s">
        <v>69</v>
      </c>
      <c r="D257" t="s">
        <v>95</v>
      </c>
    </row>
    <row r="258" spans="1:4" x14ac:dyDescent="0.25">
      <c r="A258" t="s">
        <v>14</v>
      </c>
      <c r="B258" t="s">
        <v>44</v>
      </c>
      <c r="C258" t="s">
        <v>53</v>
      </c>
      <c r="D258" t="s">
        <v>91</v>
      </c>
    </row>
    <row r="259" spans="1:4" x14ac:dyDescent="0.25">
      <c r="A259" t="s">
        <v>11</v>
      </c>
      <c r="B259" t="s">
        <v>44</v>
      </c>
      <c r="C259" t="s">
        <v>73</v>
      </c>
      <c r="D259" t="s">
        <v>102</v>
      </c>
    </row>
    <row r="260" spans="1:4" x14ac:dyDescent="0.25">
      <c r="A260" t="s">
        <v>12</v>
      </c>
      <c r="B260" t="s">
        <v>44</v>
      </c>
      <c r="C260" t="s">
        <v>74</v>
      </c>
      <c r="D260" t="s">
        <v>90</v>
      </c>
    </row>
    <row r="261" spans="1:4" x14ac:dyDescent="0.25">
      <c r="A261" t="s">
        <v>5</v>
      </c>
      <c r="B261" t="s">
        <v>45</v>
      </c>
      <c r="C261" t="s">
        <v>74</v>
      </c>
      <c r="D261" t="s">
        <v>135</v>
      </c>
    </row>
    <row r="262" spans="1:4" x14ac:dyDescent="0.25">
      <c r="A262" t="s">
        <v>6</v>
      </c>
      <c r="B262" t="s">
        <v>45</v>
      </c>
      <c r="C262" t="s">
        <v>73</v>
      </c>
      <c r="D262" t="s">
        <v>136</v>
      </c>
    </row>
    <row r="263" spans="1:4" x14ac:dyDescent="0.25">
      <c r="A263" t="s">
        <v>13</v>
      </c>
      <c r="B263" t="s">
        <v>45</v>
      </c>
      <c r="C263" t="s">
        <v>71</v>
      </c>
      <c r="D263" t="s">
        <v>86</v>
      </c>
    </row>
    <row r="264" spans="1:4" x14ac:dyDescent="0.25">
      <c r="A264" t="s">
        <v>7</v>
      </c>
      <c r="B264" t="s">
        <v>45</v>
      </c>
      <c r="C264" t="s">
        <v>55</v>
      </c>
      <c r="D264" t="s">
        <v>78</v>
      </c>
    </row>
    <row r="265" spans="1:4" x14ac:dyDescent="0.25">
      <c r="A265" t="s">
        <v>8</v>
      </c>
      <c r="B265" t="s">
        <v>45</v>
      </c>
      <c r="C265" t="s">
        <v>48</v>
      </c>
      <c r="D265" t="s">
        <v>128</v>
      </c>
    </row>
    <row r="266" spans="1:4" x14ac:dyDescent="0.25">
      <c r="A266" t="s">
        <v>9</v>
      </c>
      <c r="B266" t="s">
        <v>45</v>
      </c>
      <c r="C266" t="s">
        <v>57</v>
      </c>
      <c r="D266" t="s">
        <v>117</v>
      </c>
    </row>
    <row r="267" spans="1:4" x14ac:dyDescent="0.25">
      <c r="A267" t="s">
        <v>10</v>
      </c>
      <c r="B267" t="s">
        <v>45</v>
      </c>
      <c r="C267" t="s">
        <v>67</v>
      </c>
      <c r="D267" t="s">
        <v>89</v>
      </c>
    </row>
    <row r="268" spans="1:4" x14ac:dyDescent="0.25">
      <c r="A268" t="s">
        <v>14</v>
      </c>
      <c r="B268" t="s">
        <v>45</v>
      </c>
      <c r="C268" t="s">
        <v>54</v>
      </c>
      <c r="D268" t="s">
        <v>120</v>
      </c>
    </row>
    <row r="269" spans="1:4" x14ac:dyDescent="0.25">
      <c r="A269" t="s">
        <v>11</v>
      </c>
      <c r="B269" t="s">
        <v>45</v>
      </c>
      <c r="C269" t="s">
        <v>74</v>
      </c>
      <c r="D269" t="s">
        <v>96</v>
      </c>
    </row>
    <row r="270" spans="1:4" x14ac:dyDescent="0.25">
      <c r="A270" t="s">
        <v>12</v>
      </c>
      <c r="B270" t="s">
        <v>45</v>
      </c>
      <c r="C270" t="s">
        <v>61</v>
      </c>
      <c r="D270" t="s">
        <v>98</v>
      </c>
    </row>
  </sheetData>
  <phoneticPr fontId="2" type="noConversion"/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1"/>
  <sheetViews>
    <sheetView workbookViewId="0">
      <selection activeCell="G10" sqref="G10"/>
    </sheetView>
  </sheetViews>
  <sheetFormatPr defaultRowHeight="15" x14ac:dyDescent="0.25"/>
  <cols>
    <col min="2" max="2" width="11" customWidth="1"/>
    <col min="3" max="3" width="9.85546875" customWidth="1"/>
  </cols>
  <sheetData>
    <row r="1" spans="1:3" x14ac:dyDescent="0.25">
      <c r="A1" t="s">
        <v>0</v>
      </c>
      <c r="B1" t="s">
        <v>137</v>
      </c>
      <c r="C1" t="s">
        <v>138</v>
      </c>
    </row>
    <row r="2" spans="1:3" x14ac:dyDescent="0.25">
      <c r="A2" t="s">
        <v>5</v>
      </c>
      <c r="B2" t="s">
        <v>139</v>
      </c>
      <c r="C2" t="s">
        <v>149</v>
      </c>
    </row>
    <row r="3" spans="1:3" x14ac:dyDescent="0.25">
      <c r="A3" t="s">
        <v>6</v>
      </c>
      <c r="B3" t="s">
        <v>140</v>
      </c>
      <c r="C3" t="s">
        <v>150</v>
      </c>
    </row>
    <row r="4" spans="1:3" x14ac:dyDescent="0.25">
      <c r="A4" t="s">
        <v>13</v>
      </c>
      <c r="B4" t="s">
        <v>141</v>
      </c>
      <c r="C4" t="s">
        <v>151</v>
      </c>
    </row>
    <row r="5" spans="1:3" x14ac:dyDescent="0.25">
      <c r="A5" t="s">
        <v>7</v>
      </c>
      <c r="B5" t="s">
        <v>142</v>
      </c>
      <c r="C5" t="s">
        <v>151</v>
      </c>
    </row>
    <row r="6" spans="1:3" x14ac:dyDescent="0.25">
      <c r="A6" t="s">
        <v>8</v>
      </c>
      <c r="B6" t="s">
        <v>143</v>
      </c>
      <c r="C6" t="s">
        <v>149</v>
      </c>
    </row>
    <row r="7" spans="1:3" x14ac:dyDescent="0.25">
      <c r="A7" t="s">
        <v>9</v>
      </c>
      <c r="B7" t="s">
        <v>144</v>
      </c>
      <c r="C7" t="s">
        <v>149</v>
      </c>
    </row>
    <row r="8" spans="1:3" x14ac:dyDescent="0.25">
      <c r="A8" t="s">
        <v>10</v>
      </c>
      <c r="B8" t="s">
        <v>145</v>
      </c>
      <c r="C8" t="s">
        <v>149</v>
      </c>
    </row>
    <row r="9" spans="1:3" x14ac:dyDescent="0.25">
      <c r="A9" t="s">
        <v>14</v>
      </c>
      <c r="B9" t="s">
        <v>146</v>
      </c>
      <c r="C9" t="s">
        <v>150</v>
      </c>
    </row>
    <row r="10" spans="1:3" x14ac:dyDescent="0.25">
      <c r="A10" t="s">
        <v>11</v>
      </c>
      <c r="B10" t="s">
        <v>147</v>
      </c>
      <c r="C10" t="s">
        <v>149</v>
      </c>
    </row>
    <row r="11" spans="1:3" x14ac:dyDescent="0.25">
      <c r="A11" t="s">
        <v>12</v>
      </c>
      <c r="B11" t="s">
        <v>148</v>
      </c>
      <c r="C11" t="s">
        <v>151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D038-1E44-4D05-80C7-43E562A7850C}">
  <sheetPr codeName="Sheet7"/>
  <dimension ref="A1:H274"/>
  <sheetViews>
    <sheetView workbookViewId="0">
      <selection activeCell="F277" sqref="F277"/>
    </sheetView>
  </sheetViews>
  <sheetFormatPr defaultRowHeight="15" x14ac:dyDescent="0.25"/>
  <cols>
    <col min="1" max="1" width="7.85546875" style="3" bestFit="1" customWidth="1"/>
    <col min="2" max="2" width="10.7109375" style="8" bestFit="1" customWidth="1"/>
    <col min="3" max="3" width="13" style="9" bestFit="1" customWidth="1"/>
    <col min="4" max="4" width="13.140625" style="9" bestFit="1" customWidth="1"/>
    <col min="5" max="5" width="10" bestFit="1" customWidth="1"/>
    <col min="6" max="6" width="14.85546875" bestFit="1" customWidth="1"/>
    <col min="7" max="7" width="16.5703125" bestFit="1" customWidth="1"/>
    <col min="8" max="8" width="17.85546875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t="s">
        <v>180</v>
      </c>
      <c r="G1" t="s">
        <v>181</v>
      </c>
      <c r="H1" s="3" t="s">
        <v>155</v>
      </c>
    </row>
    <row r="2" spans="1:8" x14ac:dyDescent="0.25">
      <c r="A2" s="3" t="s">
        <v>5</v>
      </c>
      <c r="B2" s="8">
        <v>45839</v>
      </c>
      <c r="C2" s="9">
        <v>0.32361111111111113</v>
      </c>
      <c r="D2" s="9">
        <v>0.72499999999999998</v>
      </c>
      <c r="E2" s="3"/>
      <c r="F2" s="3" t="s">
        <v>139</v>
      </c>
      <c r="G2" s="3" t="s">
        <v>149</v>
      </c>
      <c r="H2" s="3">
        <v>9.6</v>
      </c>
    </row>
    <row r="3" spans="1:8" x14ac:dyDescent="0.25">
      <c r="A3" s="3" t="s">
        <v>6</v>
      </c>
      <c r="B3" s="8">
        <v>45839</v>
      </c>
      <c r="C3" s="9">
        <v>0.33263888888888887</v>
      </c>
      <c r="D3" s="9">
        <v>0.72638888888888886</v>
      </c>
      <c r="E3" s="3"/>
      <c r="F3" s="3" t="s">
        <v>140</v>
      </c>
      <c r="G3" s="3" t="s">
        <v>150</v>
      </c>
      <c r="H3" s="3">
        <v>9.4</v>
      </c>
    </row>
    <row r="4" spans="1:8" x14ac:dyDescent="0.25">
      <c r="A4" s="3" t="s">
        <v>7</v>
      </c>
      <c r="B4" s="8">
        <v>45839</v>
      </c>
      <c r="C4" s="9">
        <v>0.32291666666666669</v>
      </c>
      <c r="D4" s="9">
        <v>0.72638888888888886</v>
      </c>
      <c r="F4" s="3" t="s">
        <v>142</v>
      </c>
      <c r="G4" s="3" t="s">
        <v>151</v>
      </c>
      <c r="H4">
        <v>9.6999999999999993</v>
      </c>
    </row>
    <row r="5" spans="1:8" x14ac:dyDescent="0.25">
      <c r="A5" s="3" t="s">
        <v>8</v>
      </c>
      <c r="B5" s="8">
        <v>45839</v>
      </c>
      <c r="C5" s="9">
        <v>0.32847222222222222</v>
      </c>
      <c r="D5" s="9">
        <v>0.70486111111111116</v>
      </c>
      <c r="F5" s="3" t="s">
        <v>143</v>
      </c>
      <c r="G5" s="3" t="s">
        <v>149</v>
      </c>
      <c r="H5">
        <v>9</v>
      </c>
    </row>
    <row r="6" spans="1:8" x14ac:dyDescent="0.25">
      <c r="A6" s="3" t="s">
        <v>9</v>
      </c>
      <c r="B6" s="8">
        <v>45839</v>
      </c>
      <c r="C6" s="9">
        <v>0.33680555555555558</v>
      </c>
      <c r="D6" s="9">
        <v>0.69930555555555551</v>
      </c>
      <c r="F6" s="3" t="s">
        <v>144</v>
      </c>
      <c r="G6" s="3" t="s">
        <v>149</v>
      </c>
      <c r="H6">
        <v>8.6999999999999993</v>
      </c>
    </row>
    <row r="7" spans="1:8" x14ac:dyDescent="0.25">
      <c r="A7" s="3" t="s">
        <v>10</v>
      </c>
      <c r="B7" s="8">
        <v>45839</v>
      </c>
      <c r="C7" s="9">
        <v>0.33541666666666664</v>
      </c>
      <c r="D7" s="9">
        <v>0.70625000000000004</v>
      </c>
      <c r="F7" s="3" t="s">
        <v>145</v>
      </c>
      <c r="G7" s="3" t="s">
        <v>149</v>
      </c>
      <c r="H7">
        <v>8.9</v>
      </c>
    </row>
    <row r="8" spans="1:8" x14ac:dyDescent="0.25">
      <c r="A8" s="3" t="s">
        <v>11</v>
      </c>
      <c r="B8" s="8">
        <v>45839</v>
      </c>
      <c r="C8" s="9">
        <v>0.33333333333333331</v>
      </c>
      <c r="D8" s="9">
        <v>0.72152777777777777</v>
      </c>
      <c r="F8" s="3" t="s">
        <v>147</v>
      </c>
      <c r="G8" s="3" t="s">
        <v>149</v>
      </c>
      <c r="H8">
        <v>9.3000000000000007</v>
      </c>
    </row>
    <row r="9" spans="1:8" x14ac:dyDescent="0.25">
      <c r="A9" s="3" t="s">
        <v>12</v>
      </c>
      <c r="B9" s="8">
        <v>45839</v>
      </c>
      <c r="C9" s="9">
        <v>0.34375</v>
      </c>
      <c r="D9" s="9">
        <v>0.71944444444444444</v>
      </c>
      <c r="F9" s="3" t="s">
        <v>148</v>
      </c>
      <c r="G9" s="3" t="s">
        <v>151</v>
      </c>
      <c r="H9">
        <v>9</v>
      </c>
    </row>
    <row r="10" spans="1:8" x14ac:dyDescent="0.25">
      <c r="A10" s="3" t="s">
        <v>5</v>
      </c>
      <c r="B10" s="8">
        <v>45840</v>
      </c>
      <c r="C10" s="9">
        <v>0.34236111111111112</v>
      </c>
      <c r="D10" s="9">
        <v>0.71666666666666667</v>
      </c>
      <c r="E10" s="3"/>
      <c r="F10" s="3" t="s">
        <v>139</v>
      </c>
      <c r="G10" s="3" t="s">
        <v>149</v>
      </c>
      <c r="H10" s="3">
        <v>9</v>
      </c>
    </row>
    <row r="11" spans="1:8" x14ac:dyDescent="0.25">
      <c r="A11" s="3" t="s">
        <v>6</v>
      </c>
      <c r="B11" s="8">
        <v>45840</v>
      </c>
      <c r="C11" s="9">
        <v>0.32361111111111113</v>
      </c>
      <c r="D11" s="9">
        <v>0.72083333333333333</v>
      </c>
      <c r="F11" s="3" t="s">
        <v>140</v>
      </c>
      <c r="G11" s="3" t="s">
        <v>150</v>
      </c>
      <c r="H11">
        <v>9.5</v>
      </c>
    </row>
    <row r="12" spans="1:8" x14ac:dyDescent="0.25">
      <c r="A12" s="3" t="s">
        <v>13</v>
      </c>
      <c r="B12" s="8">
        <v>45840</v>
      </c>
      <c r="C12" s="9">
        <v>0.32500000000000001</v>
      </c>
      <c r="D12" s="9">
        <v>0.72916666666666663</v>
      </c>
      <c r="F12" s="3" t="s">
        <v>141</v>
      </c>
      <c r="G12" s="3" t="s">
        <v>151</v>
      </c>
      <c r="H12">
        <v>9.6999999999999993</v>
      </c>
    </row>
    <row r="13" spans="1:8" x14ac:dyDescent="0.25">
      <c r="A13" s="3" t="s">
        <v>7</v>
      </c>
      <c r="B13" s="8">
        <v>45840</v>
      </c>
      <c r="C13" s="9">
        <v>0.32847222222222222</v>
      </c>
      <c r="D13" s="9">
        <v>0.70138888888888884</v>
      </c>
      <c r="F13" s="3" t="s">
        <v>142</v>
      </c>
      <c r="G13" s="3" t="s">
        <v>151</v>
      </c>
      <c r="H13">
        <v>9</v>
      </c>
    </row>
    <row r="14" spans="1:8" x14ac:dyDescent="0.25">
      <c r="A14" s="3" t="s">
        <v>8</v>
      </c>
      <c r="B14" s="8">
        <v>45840</v>
      </c>
      <c r="C14" s="9">
        <v>0.3263888888888889</v>
      </c>
      <c r="D14" s="9">
        <v>0.69652777777777775</v>
      </c>
      <c r="F14" s="3" t="s">
        <v>143</v>
      </c>
      <c r="G14" s="3" t="s">
        <v>149</v>
      </c>
      <c r="H14">
        <v>8.9</v>
      </c>
    </row>
    <row r="15" spans="1:8" x14ac:dyDescent="0.25">
      <c r="A15" s="3" t="s">
        <v>9</v>
      </c>
      <c r="B15" s="8">
        <v>45840</v>
      </c>
      <c r="C15" s="9">
        <v>0.34166666666666667</v>
      </c>
      <c r="D15" s="9">
        <v>0.72777777777777775</v>
      </c>
      <c r="F15" s="3" t="s">
        <v>144</v>
      </c>
      <c r="G15" s="3" t="s">
        <v>149</v>
      </c>
      <c r="H15">
        <v>9.3000000000000007</v>
      </c>
    </row>
    <row r="16" spans="1:8" x14ac:dyDescent="0.25">
      <c r="A16" s="3" t="s">
        <v>10</v>
      </c>
      <c r="B16" s="8">
        <v>45840</v>
      </c>
      <c r="C16" s="9">
        <v>0.33680555555555558</v>
      </c>
      <c r="D16" s="9">
        <v>0.69861111111111107</v>
      </c>
      <c r="F16" s="3" t="s">
        <v>145</v>
      </c>
      <c r="G16" s="3" t="s">
        <v>149</v>
      </c>
      <c r="H16">
        <v>8.6999999999999993</v>
      </c>
    </row>
    <row r="17" spans="1:8" x14ac:dyDescent="0.25">
      <c r="A17" s="3" t="s">
        <v>14</v>
      </c>
      <c r="B17" s="8">
        <v>45840</v>
      </c>
      <c r="C17" s="9">
        <v>0.34166666666666667</v>
      </c>
      <c r="D17" s="9">
        <v>0.68819444444444444</v>
      </c>
      <c r="F17" s="3" t="s">
        <v>146</v>
      </c>
      <c r="G17" s="3" t="s">
        <v>150</v>
      </c>
      <c r="H17">
        <v>8.3000000000000007</v>
      </c>
    </row>
    <row r="18" spans="1:8" x14ac:dyDescent="0.25">
      <c r="A18" s="3" t="s">
        <v>11</v>
      </c>
      <c r="B18" s="8">
        <v>45840</v>
      </c>
      <c r="C18" s="9">
        <v>0.32708333333333334</v>
      </c>
      <c r="D18" s="9">
        <v>0.7104166666666667</v>
      </c>
      <c r="F18" s="3" t="s">
        <v>147</v>
      </c>
      <c r="G18" s="3" t="s">
        <v>149</v>
      </c>
      <c r="H18">
        <v>9.1999999999999993</v>
      </c>
    </row>
    <row r="19" spans="1:8" x14ac:dyDescent="0.25">
      <c r="A19" s="3" t="s">
        <v>12</v>
      </c>
      <c r="B19" s="8">
        <v>45840</v>
      </c>
      <c r="C19" s="9">
        <v>0.3298611111111111</v>
      </c>
      <c r="D19" s="9">
        <v>0.69652777777777775</v>
      </c>
      <c r="F19" s="3" t="s">
        <v>148</v>
      </c>
      <c r="G19" s="3" t="s">
        <v>151</v>
      </c>
      <c r="H19">
        <v>8.8000000000000007</v>
      </c>
    </row>
    <row r="20" spans="1:8" x14ac:dyDescent="0.25">
      <c r="A20" s="3" t="s">
        <v>6</v>
      </c>
      <c r="B20" s="8">
        <v>45841</v>
      </c>
      <c r="C20" s="9">
        <v>0.33263888888888887</v>
      </c>
      <c r="D20" s="9">
        <v>0.6875</v>
      </c>
      <c r="F20" s="3" t="s">
        <v>140</v>
      </c>
      <c r="G20" s="3" t="s">
        <v>150</v>
      </c>
      <c r="H20">
        <v>8.5</v>
      </c>
    </row>
    <row r="21" spans="1:8" x14ac:dyDescent="0.25">
      <c r="A21" s="3" t="s">
        <v>13</v>
      </c>
      <c r="B21" s="8">
        <v>45841</v>
      </c>
      <c r="C21" s="9">
        <v>0.3347222222222222</v>
      </c>
      <c r="D21" s="9">
        <v>0.69722222222222219</v>
      </c>
      <c r="F21" s="3" t="s">
        <v>141</v>
      </c>
      <c r="G21" s="3" t="s">
        <v>151</v>
      </c>
      <c r="H21">
        <v>8.6999999999999993</v>
      </c>
    </row>
    <row r="22" spans="1:8" x14ac:dyDescent="0.25">
      <c r="A22" s="3" t="s">
        <v>7</v>
      </c>
      <c r="B22" s="8">
        <v>45841</v>
      </c>
      <c r="C22" s="9">
        <v>0.32916666666666666</v>
      </c>
      <c r="D22" s="9">
        <v>0.69444444444444442</v>
      </c>
      <c r="F22" s="3" t="s">
        <v>142</v>
      </c>
      <c r="G22" s="3" t="s">
        <v>151</v>
      </c>
      <c r="H22">
        <v>8.8000000000000007</v>
      </c>
    </row>
    <row r="23" spans="1:8" x14ac:dyDescent="0.25">
      <c r="A23" s="3" t="s">
        <v>10</v>
      </c>
      <c r="B23" s="8">
        <v>45841</v>
      </c>
      <c r="C23" s="9">
        <v>0.32291666666666669</v>
      </c>
      <c r="D23" s="9">
        <v>0.68888888888888888</v>
      </c>
      <c r="F23" s="3" t="s">
        <v>145</v>
      </c>
      <c r="G23" s="3" t="s">
        <v>149</v>
      </c>
      <c r="H23">
        <v>8.8000000000000007</v>
      </c>
    </row>
    <row r="24" spans="1:8" x14ac:dyDescent="0.25">
      <c r="A24" s="3" t="s">
        <v>14</v>
      </c>
      <c r="B24" s="8">
        <v>45841</v>
      </c>
      <c r="C24" s="9">
        <v>0.33611111111111114</v>
      </c>
      <c r="D24" s="9">
        <v>0.71250000000000002</v>
      </c>
      <c r="F24" s="3" t="s">
        <v>146</v>
      </c>
      <c r="G24" s="3" t="s">
        <v>150</v>
      </c>
      <c r="H24">
        <v>9</v>
      </c>
    </row>
    <row r="25" spans="1:8" x14ac:dyDescent="0.25">
      <c r="A25" s="3" t="s">
        <v>12</v>
      </c>
      <c r="B25" s="8">
        <v>45841</v>
      </c>
      <c r="C25" s="9">
        <v>0.33611111111111114</v>
      </c>
      <c r="D25" s="9">
        <v>0.72916666666666663</v>
      </c>
      <c r="F25" s="3" t="s">
        <v>148</v>
      </c>
      <c r="G25" s="3" t="s">
        <v>151</v>
      </c>
      <c r="H25">
        <v>9.4</v>
      </c>
    </row>
    <row r="26" spans="1:8" x14ac:dyDescent="0.25">
      <c r="A26" s="3" t="s">
        <v>5</v>
      </c>
      <c r="B26" s="8">
        <v>45842</v>
      </c>
      <c r="C26" s="9">
        <v>0.3298611111111111</v>
      </c>
      <c r="D26" s="9">
        <v>0.72013888888888888</v>
      </c>
      <c r="E26" s="3"/>
      <c r="F26" s="3" t="s">
        <v>139</v>
      </c>
      <c r="G26" s="3" t="s">
        <v>149</v>
      </c>
      <c r="H26" s="3">
        <v>9.4</v>
      </c>
    </row>
    <row r="27" spans="1:8" x14ac:dyDescent="0.25">
      <c r="A27" s="3" t="s">
        <v>6</v>
      </c>
      <c r="B27" s="8">
        <v>45842</v>
      </c>
      <c r="C27" s="9">
        <v>0.33541666666666664</v>
      </c>
      <c r="D27" s="9">
        <v>0.70625000000000004</v>
      </c>
      <c r="F27" s="3" t="s">
        <v>140</v>
      </c>
      <c r="G27" s="3" t="s">
        <v>150</v>
      </c>
      <c r="H27">
        <v>8.9</v>
      </c>
    </row>
    <row r="28" spans="1:8" x14ac:dyDescent="0.25">
      <c r="A28" s="3" t="s">
        <v>7</v>
      </c>
      <c r="B28" s="8">
        <v>45842</v>
      </c>
      <c r="C28" s="9">
        <v>0.33124999999999999</v>
      </c>
      <c r="D28" s="9">
        <v>0.71250000000000002</v>
      </c>
      <c r="F28" s="3" t="s">
        <v>142</v>
      </c>
      <c r="G28" s="3" t="s">
        <v>151</v>
      </c>
      <c r="H28">
        <v>9.1999999999999993</v>
      </c>
    </row>
    <row r="29" spans="1:8" x14ac:dyDescent="0.25">
      <c r="A29" s="3" t="s">
        <v>8</v>
      </c>
      <c r="B29" s="8">
        <v>45842</v>
      </c>
      <c r="C29" s="9">
        <v>0.32708333333333334</v>
      </c>
      <c r="D29" s="9">
        <v>0.72569444444444442</v>
      </c>
      <c r="F29" s="3" t="s">
        <v>143</v>
      </c>
      <c r="G29" s="3" t="s">
        <v>149</v>
      </c>
      <c r="H29">
        <v>9.6</v>
      </c>
    </row>
    <row r="30" spans="1:8" x14ac:dyDescent="0.25">
      <c r="A30" s="3" t="s">
        <v>9</v>
      </c>
      <c r="B30" s="8">
        <v>45842</v>
      </c>
      <c r="C30" s="9">
        <v>0.32847222222222222</v>
      </c>
      <c r="D30" s="9">
        <v>0.69652777777777775</v>
      </c>
      <c r="F30" s="3" t="s">
        <v>144</v>
      </c>
      <c r="G30" s="3" t="s">
        <v>149</v>
      </c>
      <c r="H30">
        <v>8.8000000000000007</v>
      </c>
    </row>
    <row r="31" spans="1:8" x14ac:dyDescent="0.25">
      <c r="A31" s="3" t="s">
        <v>10</v>
      </c>
      <c r="B31" s="8">
        <v>45842</v>
      </c>
      <c r="C31" s="9">
        <v>0.32708333333333334</v>
      </c>
      <c r="D31" s="9">
        <v>0.70138888888888884</v>
      </c>
      <c r="F31" s="3" t="s">
        <v>145</v>
      </c>
      <c r="G31" s="3" t="s">
        <v>149</v>
      </c>
      <c r="H31">
        <v>9</v>
      </c>
    </row>
    <row r="32" spans="1:8" x14ac:dyDescent="0.25">
      <c r="A32" s="3" t="s">
        <v>14</v>
      </c>
      <c r="B32" s="8">
        <v>45842</v>
      </c>
      <c r="C32" s="9">
        <v>0.33750000000000002</v>
      </c>
      <c r="D32" s="9">
        <v>0.69166666666666665</v>
      </c>
      <c r="F32" s="3" t="s">
        <v>146</v>
      </c>
      <c r="G32" s="3" t="s">
        <v>150</v>
      </c>
      <c r="H32">
        <v>8.5</v>
      </c>
    </row>
    <row r="33" spans="1:8" x14ac:dyDescent="0.25">
      <c r="A33" s="3" t="s">
        <v>12</v>
      </c>
      <c r="B33" s="8">
        <v>45842</v>
      </c>
      <c r="C33" s="9">
        <v>0.32569444444444445</v>
      </c>
      <c r="D33" s="9">
        <v>0.68958333333333333</v>
      </c>
      <c r="F33" s="3" t="s">
        <v>148</v>
      </c>
      <c r="G33" s="3" t="s">
        <v>151</v>
      </c>
      <c r="H33">
        <v>8.6999999999999993</v>
      </c>
    </row>
    <row r="34" spans="1:8" x14ac:dyDescent="0.25">
      <c r="A34" s="3" t="s">
        <v>5</v>
      </c>
      <c r="B34" s="8">
        <v>45843</v>
      </c>
      <c r="C34" s="9">
        <v>0.33402777777777776</v>
      </c>
      <c r="D34" s="9">
        <v>0.72291666666666665</v>
      </c>
      <c r="E34" s="3"/>
      <c r="F34" s="3" t="s">
        <v>139</v>
      </c>
      <c r="G34" s="3" t="s">
        <v>149</v>
      </c>
      <c r="H34" s="3">
        <v>9.3000000000000007</v>
      </c>
    </row>
    <row r="35" spans="1:8" x14ac:dyDescent="0.25">
      <c r="A35" s="3" t="s">
        <v>6</v>
      </c>
      <c r="B35" s="8">
        <v>45843</v>
      </c>
      <c r="C35" s="9">
        <v>0.32569444444444445</v>
      </c>
      <c r="D35" s="9">
        <v>0.71458333333333335</v>
      </c>
      <c r="F35" s="3" t="s">
        <v>140</v>
      </c>
      <c r="G35" s="3" t="s">
        <v>150</v>
      </c>
      <c r="H35">
        <v>9.3000000000000007</v>
      </c>
    </row>
    <row r="36" spans="1:8" x14ac:dyDescent="0.25">
      <c r="A36" s="3" t="s">
        <v>13</v>
      </c>
      <c r="B36" s="8">
        <v>45843</v>
      </c>
      <c r="C36" s="9">
        <v>0.33333333333333331</v>
      </c>
      <c r="D36" s="9">
        <v>0.70625000000000004</v>
      </c>
      <c r="F36" s="3" t="s">
        <v>141</v>
      </c>
      <c r="G36" s="3" t="s">
        <v>151</v>
      </c>
      <c r="H36">
        <v>9</v>
      </c>
    </row>
    <row r="37" spans="1:8" x14ac:dyDescent="0.25">
      <c r="A37" s="3" t="s">
        <v>8</v>
      </c>
      <c r="B37" s="8">
        <v>45843</v>
      </c>
      <c r="C37" s="9">
        <v>0.34166666666666667</v>
      </c>
      <c r="D37" s="9">
        <v>0.6958333333333333</v>
      </c>
      <c r="F37" s="3" t="s">
        <v>143</v>
      </c>
      <c r="G37" s="3" t="s">
        <v>149</v>
      </c>
      <c r="H37">
        <v>8.5</v>
      </c>
    </row>
    <row r="38" spans="1:8" x14ac:dyDescent="0.25">
      <c r="A38" s="3" t="s">
        <v>9</v>
      </c>
      <c r="B38" s="8">
        <v>45843</v>
      </c>
      <c r="C38" s="9">
        <v>0.34166666666666667</v>
      </c>
      <c r="D38" s="9">
        <v>0.71319444444444446</v>
      </c>
      <c r="F38" s="3" t="s">
        <v>144</v>
      </c>
      <c r="G38" s="3" t="s">
        <v>149</v>
      </c>
      <c r="H38">
        <v>8.9</v>
      </c>
    </row>
    <row r="39" spans="1:8" x14ac:dyDescent="0.25">
      <c r="A39" s="3" t="s">
        <v>10</v>
      </c>
      <c r="B39" s="8">
        <v>45843</v>
      </c>
      <c r="C39" s="9">
        <v>0.33194444444444443</v>
      </c>
      <c r="D39" s="9">
        <v>0.72777777777777775</v>
      </c>
      <c r="F39" s="3" t="s">
        <v>145</v>
      </c>
      <c r="G39" s="3" t="s">
        <v>149</v>
      </c>
      <c r="H39">
        <v>9.5</v>
      </c>
    </row>
    <row r="40" spans="1:8" x14ac:dyDescent="0.25">
      <c r="A40" s="3" t="s">
        <v>14</v>
      </c>
      <c r="B40" s="8">
        <v>45843</v>
      </c>
      <c r="C40" s="9">
        <v>0.33402777777777776</v>
      </c>
      <c r="D40" s="9">
        <v>0.71111111111111114</v>
      </c>
      <c r="F40" s="3" t="s">
        <v>146</v>
      </c>
      <c r="G40" s="3" t="s">
        <v>150</v>
      </c>
      <c r="H40">
        <v>9</v>
      </c>
    </row>
    <row r="41" spans="1:8" x14ac:dyDescent="0.25">
      <c r="A41" s="3" t="s">
        <v>11</v>
      </c>
      <c r="B41" s="8">
        <v>45843</v>
      </c>
      <c r="C41" s="9">
        <v>0.34097222222222223</v>
      </c>
      <c r="D41" s="9">
        <v>0.69722222222222219</v>
      </c>
      <c r="F41" s="3" t="s">
        <v>147</v>
      </c>
      <c r="G41" s="3" t="s">
        <v>149</v>
      </c>
      <c r="H41">
        <v>8.6</v>
      </c>
    </row>
    <row r="42" spans="1:8" x14ac:dyDescent="0.25">
      <c r="A42" s="3" t="s">
        <v>12</v>
      </c>
      <c r="B42" s="8">
        <v>45843</v>
      </c>
      <c r="C42" s="9">
        <v>0.33055555555555555</v>
      </c>
      <c r="D42" s="9">
        <v>0.7</v>
      </c>
      <c r="F42" s="3" t="s">
        <v>148</v>
      </c>
      <c r="G42" s="3" t="s">
        <v>151</v>
      </c>
      <c r="H42">
        <v>8.9</v>
      </c>
    </row>
    <row r="43" spans="1:8" x14ac:dyDescent="0.25">
      <c r="A43" s="3" t="s">
        <v>6</v>
      </c>
      <c r="B43" s="8">
        <v>45844</v>
      </c>
      <c r="C43" s="9">
        <v>0.3347222222222222</v>
      </c>
      <c r="D43" s="9">
        <v>0.72916666666666663</v>
      </c>
      <c r="F43" s="3" t="s">
        <v>140</v>
      </c>
      <c r="G43" s="3" t="s">
        <v>150</v>
      </c>
      <c r="H43">
        <v>9.5</v>
      </c>
    </row>
    <row r="44" spans="1:8" x14ac:dyDescent="0.25">
      <c r="A44" s="3" t="s">
        <v>13</v>
      </c>
      <c r="B44" s="8">
        <v>45844</v>
      </c>
      <c r="C44" s="9">
        <v>0.32847222222222222</v>
      </c>
      <c r="D44" s="9">
        <v>0.6958333333333333</v>
      </c>
      <c r="F44" s="3" t="s">
        <v>141</v>
      </c>
      <c r="G44" s="3" t="s">
        <v>151</v>
      </c>
      <c r="H44">
        <v>8.8000000000000007</v>
      </c>
    </row>
    <row r="45" spans="1:8" x14ac:dyDescent="0.25">
      <c r="A45" s="3" t="s">
        <v>7</v>
      </c>
      <c r="B45" s="8">
        <v>45844</v>
      </c>
      <c r="C45" s="9">
        <v>0.33541666666666664</v>
      </c>
      <c r="D45" s="9">
        <v>0.69027777777777777</v>
      </c>
      <c r="F45" s="3" t="s">
        <v>142</v>
      </c>
      <c r="G45" s="3" t="s">
        <v>151</v>
      </c>
      <c r="H45">
        <v>8.5</v>
      </c>
    </row>
    <row r="46" spans="1:8" x14ac:dyDescent="0.25">
      <c r="A46" s="3" t="s">
        <v>8</v>
      </c>
      <c r="B46" s="8">
        <v>45844</v>
      </c>
      <c r="C46" s="9">
        <v>0.33541666666666664</v>
      </c>
      <c r="D46" s="9">
        <v>0.70208333333333328</v>
      </c>
      <c r="F46" s="3" t="s">
        <v>143</v>
      </c>
      <c r="G46" s="3" t="s">
        <v>149</v>
      </c>
      <c r="H46">
        <v>8.8000000000000007</v>
      </c>
    </row>
    <row r="47" spans="1:8" x14ac:dyDescent="0.25">
      <c r="A47" s="3" t="s">
        <v>10</v>
      </c>
      <c r="B47" s="8">
        <v>45844</v>
      </c>
      <c r="C47" s="9">
        <v>0.32777777777777778</v>
      </c>
      <c r="D47" s="9">
        <v>0.72152777777777777</v>
      </c>
      <c r="F47" s="3" t="s">
        <v>145</v>
      </c>
      <c r="G47" s="3" t="s">
        <v>149</v>
      </c>
      <c r="H47">
        <v>9.4</v>
      </c>
    </row>
    <row r="48" spans="1:8" x14ac:dyDescent="0.25">
      <c r="A48" s="3" t="s">
        <v>14</v>
      </c>
      <c r="B48" s="8">
        <v>45844</v>
      </c>
      <c r="C48" s="9">
        <v>0.33402777777777776</v>
      </c>
      <c r="D48" s="9">
        <v>0.70347222222222228</v>
      </c>
      <c r="F48" s="3" t="s">
        <v>146</v>
      </c>
      <c r="G48" s="3" t="s">
        <v>150</v>
      </c>
      <c r="H48">
        <v>8.9</v>
      </c>
    </row>
    <row r="49" spans="1:8" x14ac:dyDescent="0.25">
      <c r="A49" s="3" t="s">
        <v>11</v>
      </c>
      <c r="B49" s="8">
        <v>45844</v>
      </c>
      <c r="C49" s="9">
        <v>0.32847222222222222</v>
      </c>
      <c r="D49" s="9">
        <v>0.70763888888888893</v>
      </c>
      <c r="F49" s="3" t="s">
        <v>147</v>
      </c>
      <c r="G49" s="3" t="s">
        <v>149</v>
      </c>
      <c r="H49">
        <v>9.1</v>
      </c>
    </row>
    <row r="50" spans="1:8" x14ac:dyDescent="0.25">
      <c r="A50" s="3" t="s">
        <v>12</v>
      </c>
      <c r="B50" s="8">
        <v>45844</v>
      </c>
      <c r="C50" s="9">
        <v>0.33194444444444443</v>
      </c>
      <c r="D50" s="9">
        <v>0.68888888888888888</v>
      </c>
      <c r="F50" s="3" t="s">
        <v>148</v>
      </c>
      <c r="G50" s="3" t="s">
        <v>151</v>
      </c>
      <c r="H50">
        <v>8.6</v>
      </c>
    </row>
    <row r="51" spans="1:8" x14ac:dyDescent="0.25">
      <c r="A51" s="3" t="s">
        <v>5</v>
      </c>
      <c r="B51" s="8">
        <v>45845</v>
      </c>
      <c r="C51" s="9">
        <v>0.34375</v>
      </c>
      <c r="D51" s="9">
        <v>0.69930555555555551</v>
      </c>
      <c r="E51" s="3"/>
      <c r="F51" s="3" t="s">
        <v>139</v>
      </c>
      <c r="G51" s="3" t="s">
        <v>149</v>
      </c>
      <c r="H51" s="3">
        <v>8.5</v>
      </c>
    </row>
    <row r="52" spans="1:8" x14ac:dyDescent="0.25">
      <c r="A52" s="3" t="s">
        <v>13</v>
      </c>
      <c r="B52" s="8">
        <v>45845</v>
      </c>
      <c r="C52" s="9">
        <v>0.32708333333333334</v>
      </c>
      <c r="D52" s="9">
        <v>0.70833333333333337</v>
      </c>
      <c r="F52" s="3" t="s">
        <v>141</v>
      </c>
      <c r="G52" s="3" t="s">
        <v>151</v>
      </c>
      <c r="H52">
        <v>9.1999999999999993</v>
      </c>
    </row>
    <row r="53" spans="1:8" x14ac:dyDescent="0.25">
      <c r="A53" s="3" t="s">
        <v>7</v>
      </c>
      <c r="B53" s="8">
        <v>45845</v>
      </c>
      <c r="C53" s="9">
        <v>0.34166666666666667</v>
      </c>
      <c r="D53" s="9">
        <v>0.71736111111111112</v>
      </c>
      <c r="F53" s="3" t="s">
        <v>142</v>
      </c>
      <c r="G53" s="3" t="s">
        <v>151</v>
      </c>
      <c r="H53">
        <v>9</v>
      </c>
    </row>
    <row r="54" spans="1:8" x14ac:dyDescent="0.25">
      <c r="A54" s="3" t="s">
        <v>8</v>
      </c>
      <c r="B54" s="8">
        <v>45845</v>
      </c>
      <c r="C54" s="9">
        <v>0.33888888888888891</v>
      </c>
      <c r="D54" s="9">
        <v>0.69166666666666665</v>
      </c>
      <c r="F54" s="3" t="s">
        <v>143</v>
      </c>
      <c r="G54" s="3" t="s">
        <v>149</v>
      </c>
      <c r="H54">
        <v>8.5</v>
      </c>
    </row>
    <row r="55" spans="1:8" x14ac:dyDescent="0.25">
      <c r="A55" s="3" t="s">
        <v>9</v>
      </c>
      <c r="B55" s="8">
        <v>45845</v>
      </c>
      <c r="C55" s="9">
        <v>0.32777777777777778</v>
      </c>
      <c r="D55" s="9">
        <v>0.72222222222222221</v>
      </c>
      <c r="F55" s="3" t="s">
        <v>144</v>
      </c>
      <c r="G55" s="3" t="s">
        <v>149</v>
      </c>
      <c r="H55">
        <v>9.5</v>
      </c>
    </row>
    <row r="56" spans="1:8" x14ac:dyDescent="0.25">
      <c r="A56" s="3" t="s">
        <v>10</v>
      </c>
      <c r="B56" s="8">
        <v>45845</v>
      </c>
      <c r="C56" s="9">
        <v>0.33680555555555558</v>
      </c>
      <c r="D56" s="9">
        <v>0.70347222222222228</v>
      </c>
      <c r="F56" s="3" t="s">
        <v>145</v>
      </c>
      <c r="G56" s="3" t="s">
        <v>149</v>
      </c>
      <c r="H56">
        <v>8.8000000000000007</v>
      </c>
    </row>
    <row r="57" spans="1:8" x14ac:dyDescent="0.25">
      <c r="A57" s="3" t="s">
        <v>14</v>
      </c>
      <c r="B57" s="8">
        <v>45845</v>
      </c>
      <c r="C57" s="9">
        <v>0.33888888888888891</v>
      </c>
      <c r="D57" s="9">
        <v>0.68819444444444444</v>
      </c>
      <c r="F57" s="3" t="s">
        <v>146</v>
      </c>
      <c r="G57" s="3" t="s">
        <v>150</v>
      </c>
      <c r="H57">
        <v>8.4</v>
      </c>
    </row>
    <row r="58" spans="1:8" x14ac:dyDescent="0.25">
      <c r="A58" s="3" t="s">
        <v>11</v>
      </c>
      <c r="B58" s="8">
        <v>45845</v>
      </c>
      <c r="C58" s="9">
        <v>0.32361111111111113</v>
      </c>
      <c r="D58" s="9">
        <v>0.72083333333333333</v>
      </c>
      <c r="F58" s="3" t="s">
        <v>147</v>
      </c>
      <c r="G58" s="3" t="s">
        <v>149</v>
      </c>
      <c r="H58">
        <v>9.5</v>
      </c>
    </row>
    <row r="59" spans="1:8" x14ac:dyDescent="0.25">
      <c r="A59" s="3" t="s">
        <v>12</v>
      </c>
      <c r="B59" s="8">
        <v>45845</v>
      </c>
      <c r="C59" s="9">
        <v>0.34305555555555556</v>
      </c>
      <c r="D59" s="9">
        <v>0.72291666666666665</v>
      </c>
      <c r="F59" s="3" t="s">
        <v>148</v>
      </c>
      <c r="G59" s="3" t="s">
        <v>151</v>
      </c>
      <c r="H59">
        <v>9.1</v>
      </c>
    </row>
    <row r="60" spans="1:8" x14ac:dyDescent="0.25">
      <c r="A60" s="3" t="s">
        <v>5</v>
      </c>
      <c r="B60" s="8">
        <v>45846</v>
      </c>
      <c r="C60" s="9">
        <v>0.32291666666666669</v>
      </c>
      <c r="D60" s="9">
        <v>0.70972222222222225</v>
      </c>
      <c r="E60" s="3"/>
      <c r="F60" s="3" t="s">
        <v>139</v>
      </c>
      <c r="G60" s="3" t="s">
        <v>149</v>
      </c>
      <c r="H60" s="3">
        <v>9.3000000000000007</v>
      </c>
    </row>
    <row r="61" spans="1:8" x14ac:dyDescent="0.25">
      <c r="A61" s="3" t="s">
        <v>13</v>
      </c>
      <c r="B61" s="8">
        <v>45846</v>
      </c>
      <c r="C61" s="9">
        <v>0.32361111111111113</v>
      </c>
      <c r="D61" s="9">
        <v>0.69861111111111107</v>
      </c>
      <c r="F61" s="3" t="s">
        <v>141</v>
      </c>
      <c r="G61" s="3" t="s">
        <v>151</v>
      </c>
      <c r="H61">
        <v>9</v>
      </c>
    </row>
    <row r="62" spans="1:8" x14ac:dyDescent="0.25">
      <c r="A62" s="3" t="s">
        <v>7</v>
      </c>
      <c r="B62" s="8">
        <v>45846</v>
      </c>
      <c r="C62" s="9">
        <v>0.3347222222222222</v>
      </c>
      <c r="D62" s="9">
        <v>0.72222222222222221</v>
      </c>
      <c r="F62" s="3" t="s">
        <v>142</v>
      </c>
      <c r="G62" s="3" t="s">
        <v>151</v>
      </c>
      <c r="H62">
        <v>9.3000000000000007</v>
      </c>
    </row>
    <row r="63" spans="1:8" x14ac:dyDescent="0.25">
      <c r="A63" s="3" t="s">
        <v>8</v>
      </c>
      <c r="B63" s="8">
        <v>45846</v>
      </c>
      <c r="C63" s="9">
        <v>0.3347222222222222</v>
      </c>
      <c r="D63" s="9">
        <v>0.69236111111111109</v>
      </c>
      <c r="F63" s="3" t="s">
        <v>143</v>
      </c>
      <c r="G63" s="3" t="s">
        <v>149</v>
      </c>
      <c r="H63">
        <v>8.6</v>
      </c>
    </row>
    <row r="64" spans="1:8" x14ac:dyDescent="0.25">
      <c r="A64" s="3" t="s">
        <v>9</v>
      </c>
      <c r="B64" s="8">
        <v>45846</v>
      </c>
      <c r="C64" s="9">
        <v>0.3298611111111111</v>
      </c>
      <c r="D64" s="9">
        <v>0.69027777777777777</v>
      </c>
      <c r="F64" s="3" t="s">
        <v>144</v>
      </c>
      <c r="G64" s="3" t="s">
        <v>149</v>
      </c>
      <c r="H64">
        <v>8.6</v>
      </c>
    </row>
    <row r="65" spans="1:8" x14ac:dyDescent="0.25">
      <c r="A65" s="3" t="s">
        <v>10</v>
      </c>
      <c r="B65" s="8">
        <v>45846</v>
      </c>
      <c r="C65" s="9">
        <v>0.34236111111111112</v>
      </c>
      <c r="D65" s="9">
        <v>0.69166666666666665</v>
      </c>
      <c r="F65" s="3" t="s">
        <v>145</v>
      </c>
      <c r="G65" s="3" t="s">
        <v>149</v>
      </c>
      <c r="H65">
        <v>8.4</v>
      </c>
    </row>
    <row r="66" spans="1:8" x14ac:dyDescent="0.25">
      <c r="A66" s="3" t="s">
        <v>11</v>
      </c>
      <c r="B66" s="8">
        <v>45846</v>
      </c>
      <c r="C66" s="9">
        <v>0.32847222222222222</v>
      </c>
      <c r="D66" s="9">
        <v>0.69861111111111107</v>
      </c>
      <c r="F66" s="3" t="s">
        <v>147</v>
      </c>
      <c r="G66" s="3" t="s">
        <v>149</v>
      </c>
      <c r="H66">
        <v>8.9</v>
      </c>
    </row>
    <row r="67" spans="1:8" x14ac:dyDescent="0.25">
      <c r="A67" s="3" t="s">
        <v>12</v>
      </c>
      <c r="B67" s="8">
        <v>45846</v>
      </c>
      <c r="C67" s="9">
        <v>0.33194444444444443</v>
      </c>
      <c r="D67" s="9">
        <v>0.72361111111111109</v>
      </c>
      <c r="F67" s="3" t="s">
        <v>148</v>
      </c>
      <c r="G67" s="3" t="s">
        <v>151</v>
      </c>
      <c r="H67">
        <v>9.4</v>
      </c>
    </row>
    <row r="68" spans="1:8" x14ac:dyDescent="0.25">
      <c r="A68" s="3" t="s">
        <v>5</v>
      </c>
      <c r="B68" s="8">
        <v>45847</v>
      </c>
      <c r="C68" s="9">
        <v>0.32708333333333334</v>
      </c>
      <c r="D68" s="9">
        <v>0.71597222222222223</v>
      </c>
      <c r="E68" s="3"/>
      <c r="F68" s="3" t="s">
        <v>139</v>
      </c>
      <c r="G68" s="3" t="s">
        <v>149</v>
      </c>
      <c r="H68" s="3">
        <v>9.3000000000000007</v>
      </c>
    </row>
    <row r="69" spans="1:8" x14ac:dyDescent="0.25">
      <c r="A69" s="3" t="s">
        <v>6</v>
      </c>
      <c r="B69" s="8">
        <v>45847</v>
      </c>
      <c r="C69" s="9">
        <v>0.33124999999999999</v>
      </c>
      <c r="D69" s="9">
        <v>0.72916666666666663</v>
      </c>
      <c r="F69" s="3" t="s">
        <v>140</v>
      </c>
      <c r="G69" s="3" t="s">
        <v>150</v>
      </c>
      <c r="H69">
        <v>9.6</v>
      </c>
    </row>
    <row r="70" spans="1:8" x14ac:dyDescent="0.25">
      <c r="A70" s="3" t="s">
        <v>13</v>
      </c>
      <c r="B70" s="8">
        <v>45847</v>
      </c>
      <c r="C70" s="9">
        <v>0.34375</v>
      </c>
      <c r="D70" s="9">
        <v>0.68888888888888888</v>
      </c>
      <c r="F70" s="3" t="s">
        <v>141</v>
      </c>
      <c r="G70" s="3" t="s">
        <v>151</v>
      </c>
      <c r="H70">
        <v>8.3000000000000007</v>
      </c>
    </row>
    <row r="71" spans="1:8" x14ac:dyDescent="0.25">
      <c r="A71" s="3" t="s">
        <v>7</v>
      </c>
      <c r="B71" s="8">
        <v>45847</v>
      </c>
      <c r="C71" s="9">
        <v>0.33402777777777776</v>
      </c>
      <c r="D71" s="9">
        <v>0.70833333333333337</v>
      </c>
      <c r="F71" s="3" t="s">
        <v>142</v>
      </c>
      <c r="G71" s="3" t="s">
        <v>151</v>
      </c>
      <c r="H71">
        <v>9</v>
      </c>
    </row>
    <row r="72" spans="1:8" x14ac:dyDescent="0.25">
      <c r="A72" s="3" t="s">
        <v>8</v>
      </c>
      <c r="B72" s="8">
        <v>45847</v>
      </c>
      <c r="C72" s="9">
        <v>0.33819444444444446</v>
      </c>
      <c r="D72" s="9">
        <v>0.69097222222222221</v>
      </c>
      <c r="F72" s="3" t="s">
        <v>143</v>
      </c>
      <c r="G72" s="3" t="s">
        <v>149</v>
      </c>
      <c r="H72">
        <v>8.5</v>
      </c>
    </row>
    <row r="73" spans="1:8" x14ac:dyDescent="0.25">
      <c r="A73" s="3" t="s">
        <v>9</v>
      </c>
      <c r="B73" s="8">
        <v>45847</v>
      </c>
      <c r="C73" s="9">
        <v>0.32361111111111113</v>
      </c>
      <c r="D73" s="9">
        <v>0.72638888888888886</v>
      </c>
      <c r="F73" s="3" t="s">
        <v>144</v>
      </c>
      <c r="G73" s="3" t="s">
        <v>149</v>
      </c>
      <c r="H73">
        <v>9.6999999999999993</v>
      </c>
    </row>
    <row r="74" spans="1:8" x14ac:dyDescent="0.25">
      <c r="A74" s="3" t="s">
        <v>10</v>
      </c>
      <c r="B74" s="8">
        <v>45847</v>
      </c>
      <c r="C74" s="9">
        <v>0.33888888888888891</v>
      </c>
      <c r="D74" s="9">
        <v>0.72777777777777775</v>
      </c>
      <c r="F74" s="3" t="s">
        <v>145</v>
      </c>
      <c r="G74" s="3" t="s">
        <v>149</v>
      </c>
      <c r="H74">
        <v>9.3000000000000007</v>
      </c>
    </row>
    <row r="75" spans="1:8" x14ac:dyDescent="0.25">
      <c r="A75" s="3" t="s">
        <v>14</v>
      </c>
      <c r="B75" s="8">
        <v>45847</v>
      </c>
      <c r="C75" s="9">
        <v>0.34305555555555556</v>
      </c>
      <c r="D75" s="9">
        <v>0.70902777777777781</v>
      </c>
      <c r="F75" s="3" t="s">
        <v>146</v>
      </c>
      <c r="G75" s="3" t="s">
        <v>150</v>
      </c>
      <c r="H75">
        <v>8.8000000000000007</v>
      </c>
    </row>
    <row r="76" spans="1:8" x14ac:dyDescent="0.25">
      <c r="A76" s="3" t="s">
        <v>11</v>
      </c>
      <c r="B76" s="8">
        <v>45847</v>
      </c>
      <c r="C76" s="9">
        <v>0.3263888888888889</v>
      </c>
      <c r="D76" s="9">
        <v>0.7270833333333333</v>
      </c>
      <c r="F76" s="3" t="s">
        <v>147</v>
      </c>
      <c r="G76" s="3" t="s">
        <v>149</v>
      </c>
      <c r="H76">
        <v>9.6</v>
      </c>
    </row>
    <row r="77" spans="1:8" x14ac:dyDescent="0.25">
      <c r="A77" s="3" t="s">
        <v>12</v>
      </c>
      <c r="B77" s="8">
        <v>45847</v>
      </c>
      <c r="C77" s="9">
        <v>0.34375</v>
      </c>
      <c r="D77" s="9">
        <v>0.69652777777777775</v>
      </c>
      <c r="F77" s="3" t="s">
        <v>148</v>
      </c>
      <c r="G77" s="3" t="s">
        <v>151</v>
      </c>
      <c r="H77">
        <v>8.5</v>
      </c>
    </row>
    <row r="78" spans="1:8" x14ac:dyDescent="0.25">
      <c r="A78" s="3" t="s">
        <v>5</v>
      </c>
      <c r="B78" s="8">
        <v>45848</v>
      </c>
      <c r="C78" s="9">
        <v>0.33055555555555555</v>
      </c>
      <c r="D78" s="9">
        <v>0.72569444444444442</v>
      </c>
      <c r="E78" s="3"/>
      <c r="F78" s="3" t="s">
        <v>139</v>
      </c>
      <c r="G78" s="3" t="s">
        <v>149</v>
      </c>
      <c r="H78" s="3">
        <v>9.5</v>
      </c>
    </row>
    <row r="79" spans="1:8" x14ac:dyDescent="0.25">
      <c r="A79" s="3" t="s">
        <v>6</v>
      </c>
      <c r="B79" s="8">
        <v>45848</v>
      </c>
      <c r="C79" s="9">
        <v>0.33958333333333335</v>
      </c>
      <c r="D79" s="9">
        <v>0.69166666666666665</v>
      </c>
      <c r="F79" s="3" t="s">
        <v>140</v>
      </c>
      <c r="G79" s="3" t="s">
        <v>150</v>
      </c>
      <c r="H79">
        <v>8.4</v>
      </c>
    </row>
    <row r="80" spans="1:8" x14ac:dyDescent="0.25">
      <c r="A80" s="3" t="s">
        <v>13</v>
      </c>
      <c r="B80" s="8">
        <v>45848</v>
      </c>
      <c r="C80" s="9">
        <v>0.3263888888888889</v>
      </c>
      <c r="D80" s="9">
        <v>0.70138888888888884</v>
      </c>
      <c r="F80" s="3" t="s">
        <v>141</v>
      </c>
      <c r="G80" s="3" t="s">
        <v>151</v>
      </c>
      <c r="H80">
        <v>9</v>
      </c>
    </row>
    <row r="81" spans="1:8" x14ac:dyDescent="0.25">
      <c r="A81" s="3" t="s">
        <v>7</v>
      </c>
      <c r="B81" s="8">
        <v>45848</v>
      </c>
      <c r="C81" s="9">
        <v>0.34236111111111112</v>
      </c>
      <c r="D81" s="9">
        <v>0.70763888888888893</v>
      </c>
      <c r="F81" s="3" t="s">
        <v>142</v>
      </c>
      <c r="G81" s="3" t="s">
        <v>151</v>
      </c>
      <c r="H81">
        <v>8.8000000000000007</v>
      </c>
    </row>
    <row r="82" spans="1:8" x14ac:dyDescent="0.25">
      <c r="A82" s="3" t="s">
        <v>8</v>
      </c>
      <c r="B82" s="8">
        <v>45848</v>
      </c>
      <c r="C82" s="9">
        <v>0.33888888888888891</v>
      </c>
      <c r="D82" s="9">
        <v>0.71875</v>
      </c>
      <c r="F82" s="3" t="s">
        <v>143</v>
      </c>
      <c r="G82" s="3" t="s">
        <v>149</v>
      </c>
      <c r="H82">
        <v>9.1</v>
      </c>
    </row>
    <row r="83" spans="1:8" x14ac:dyDescent="0.25">
      <c r="A83" s="3" t="s">
        <v>9</v>
      </c>
      <c r="B83" s="8">
        <v>45848</v>
      </c>
      <c r="C83" s="9">
        <v>0.32569444444444445</v>
      </c>
      <c r="D83" s="9">
        <v>0.72638888888888886</v>
      </c>
      <c r="F83" s="3" t="s">
        <v>144</v>
      </c>
      <c r="G83" s="3" t="s">
        <v>149</v>
      </c>
      <c r="H83">
        <v>9.6</v>
      </c>
    </row>
    <row r="84" spans="1:8" x14ac:dyDescent="0.25">
      <c r="A84" s="3" t="s">
        <v>10</v>
      </c>
      <c r="B84" s="8">
        <v>45848</v>
      </c>
      <c r="C84" s="9">
        <v>0.32569444444444445</v>
      </c>
      <c r="D84" s="9">
        <v>0.69652777777777775</v>
      </c>
      <c r="F84" s="3" t="s">
        <v>145</v>
      </c>
      <c r="G84" s="3" t="s">
        <v>149</v>
      </c>
      <c r="H84">
        <v>8.9</v>
      </c>
    </row>
    <row r="85" spans="1:8" x14ac:dyDescent="0.25">
      <c r="A85" s="3" t="s">
        <v>14</v>
      </c>
      <c r="B85" s="8">
        <v>45848</v>
      </c>
      <c r="C85" s="9">
        <v>0.34236111111111112</v>
      </c>
      <c r="D85" s="9">
        <v>0.68819444444444444</v>
      </c>
      <c r="F85" s="3" t="s">
        <v>146</v>
      </c>
      <c r="G85" s="3" t="s">
        <v>150</v>
      </c>
      <c r="H85">
        <v>8.3000000000000007</v>
      </c>
    </row>
    <row r="86" spans="1:8" x14ac:dyDescent="0.25">
      <c r="A86" s="3" t="s">
        <v>11</v>
      </c>
      <c r="B86" s="8">
        <v>45848</v>
      </c>
      <c r="C86" s="9">
        <v>0.32777777777777778</v>
      </c>
      <c r="D86" s="9">
        <v>0.71944444444444444</v>
      </c>
      <c r="F86" s="3" t="s">
        <v>147</v>
      </c>
      <c r="G86" s="3" t="s">
        <v>149</v>
      </c>
      <c r="H86">
        <v>9.4</v>
      </c>
    </row>
    <row r="87" spans="1:8" x14ac:dyDescent="0.25">
      <c r="A87" s="3" t="s">
        <v>12</v>
      </c>
      <c r="B87" s="8">
        <v>45848</v>
      </c>
      <c r="C87" s="9">
        <v>0.32916666666666666</v>
      </c>
      <c r="D87" s="9">
        <v>0.71736111111111112</v>
      </c>
      <c r="F87" s="3" t="s">
        <v>148</v>
      </c>
      <c r="G87" s="3" t="s">
        <v>151</v>
      </c>
      <c r="H87">
        <v>9.3000000000000007</v>
      </c>
    </row>
    <row r="88" spans="1:8" x14ac:dyDescent="0.25">
      <c r="A88" s="3" t="s">
        <v>5</v>
      </c>
      <c r="B88" s="8">
        <v>45849</v>
      </c>
      <c r="C88" s="9">
        <v>0.33750000000000002</v>
      </c>
      <c r="D88" s="9">
        <v>0.72569444444444442</v>
      </c>
      <c r="E88" s="3"/>
      <c r="F88" s="3" t="s">
        <v>139</v>
      </c>
      <c r="G88" s="3" t="s">
        <v>149</v>
      </c>
      <c r="H88" s="3">
        <v>9.3000000000000007</v>
      </c>
    </row>
    <row r="89" spans="1:8" x14ac:dyDescent="0.25">
      <c r="A89" s="3" t="s">
        <v>6</v>
      </c>
      <c r="B89" s="8">
        <v>45849</v>
      </c>
      <c r="C89" s="9">
        <v>0.3298611111111111</v>
      </c>
      <c r="D89" s="9">
        <v>0.70763888888888893</v>
      </c>
      <c r="F89" s="3" t="s">
        <v>140</v>
      </c>
      <c r="G89" s="3" t="s">
        <v>150</v>
      </c>
      <c r="H89">
        <v>9.1</v>
      </c>
    </row>
    <row r="90" spans="1:8" x14ac:dyDescent="0.25">
      <c r="A90" s="3" t="s">
        <v>13</v>
      </c>
      <c r="B90" s="8">
        <v>45849</v>
      </c>
      <c r="C90" s="9">
        <v>0.34097222222222223</v>
      </c>
      <c r="D90" s="9">
        <v>0.68958333333333333</v>
      </c>
      <c r="F90" s="3" t="s">
        <v>141</v>
      </c>
      <c r="G90" s="3" t="s">
        <v>151</v>
      </c>
      <c r="H90">
        <v>8.4</v>
      </c>
    </row>
    <row r="91" spans="1:8" x14ac:dyDescent="0.25">
      <c r="A91" s="3" t="s">
        <v>7</v>
      </c>
      <c r="B91" s="8">
        <v>45849</v>
      </c>
      <c r="C91" s="9">
        <v>0.32361111111111113</v>
      </c>
      <c r="D91" s="9">
        <v>0.70833333333333337</v>
      </c>
      <c r="F91" s="3" t="s">
        <v>142</v>
      </c>
      <c r="G91" s="3" t="s">
        <v>151</v>
      </c>
      <c r="H91">
        <v>9.1999999999999993</v>
      </c>
    </row>
    <row r="92" spans="1:8" x14ac:dyDescent="0.25">
      <c r="A92" s="3" t="s">
        <v>8</v>
      </c>
      <c r="B92" s="8">
        <v>45849</v>
      </c>
      <c r="C92" s="9">
        <v>0.33124999999999999</v>
      </c>
      <c r="D92" s="9">
        <v>0.71111111111111114</v>
      </c>
      <c r="F92" s="3" t="s">
        <v>143</v>
      </c>
      <c r="G92" s="3" t="s">
        <v>149</v>
      </c>
      <c r="H92">
        <v>9.1</v>
      </c>
    </row>
    <row r="93" spans="1:8" x14ac:dyDescent="0.25">
      <c r="A93" s="3" t="s">
        <v>9</v>
      </c>
      <c r="B93" s="8">
        <v>45849</v>
      </c>
      <c r="C93" s="9">
        <v>0.33541666666666664</v>
      </c>
      <c r="D93" s="9">
        <v>0.72569444444444442</v>
      </c>
      <c r="F93" s="3" t="s">
        <v>144</v>
      </c>
      <c r="G93" s="3" t="s">
        <v>149</v>
      </c>
      <c r="H93">
        <v>9.4</v>
      </c>
    </row>
    <row r="94" spans="1:8" x14ac:dyDescent="0.25">
      <c r="A94" s="3" t="s">
        <v>10</v>
      </c>
      <c r="B94" s="8">
        <v>45849</v>
      </c>
      <c r="C94" s="9">
        <v>0.32569444444444445</v>
      </c>
      <c r="D94" s="9">
        <v>0.7055555555555556</v>
      </c>
      <c r="F94" s="3" t="s">
        <v>145</v>
      </c>
      <c r="G94" s="3" t="s">
        <v>149</v>
      </c>
      <c r="H94">
        <v>9.1</v>
      </c>
    </row>
    <row r="95" spans="1:8" x14ac:dyDescent="0.25">
      <c r="A95" s="3" t="s">
        <v>14</v>
      </c>
      <c r="B95" s="8">
        <v>45849</v>
      </c>
      <c r="C95" s="9">
        <v>0.34166666666666667</v>
      </c>
      <c r="D95" s="9">
        <v>0.71666666666666667</v>
      </c>
      <c r="F95" s="3" t="s">
        <v>146</v>
      </c>
      <c r="G95" s="3" t="s">
        <v>150</v>
      </c>
      <c r="H95">
        <v>9</v>
      </c>
    </row>
    <row r="96" spans="1:8" x14ac:dyDescent="0.25">
      <c r="A96" s="3" t="s">
        <v>11</v>
      </c>
      <c r="B96" s="8">
        <v>45849</v>
      </c>
      <c r="C96" s="9">
        <v>0.33402777777777776</v>
      </c>
      <c r="D96" s="9">
        <v>0.71458333333333335</v>
      </c>
      <c r="F96" s="3" t="s">
        <v>147</v>
      </c>
      <c r="G96" s="3" t="s">
        <v>149</v>
      </c>
      <c r="H96">
        <v>9.1</v>
      </c>
    </row>
    <row r="97" spans="1:8" x14ac:dyDescent="0.25">
      <c r="A97" s="3" t="s">
        <v>12</v>
      </c>
      <c r="B97" s="8">
        <v>45849</v>
      </c>
      <c r="C97" s="9">
        <v>0.33055555555555555</v>
      </c>
      <c r="D97" s="9">
        <v>0.70138888888888884</v>
      </c>
      <c r="F97" s="3" t="s">
        <v>148</v>
      </c>
      <c r="G97" s="3" t="s">
        <v>151</v>
      </c>
      <c r="H97">
        <v>8.9</v>
      </c>
    </row>
    <row r="98" spans="1:8" x14ac:dyDescent="0.25">
      <c r="A98" s="3" t="s">
        <v>5</v>
      </c>
      <c r="B98" s="8">
        <v>45850</v>
      </c>
      <c r="C98" s="9">
        <v>0.33263888888888887</v>
      </c>
      <c r="D98" s="9">
        <v>0.71319444444444446</v>
      </c>
      <c r="E98" s="3"/>
      <c r="F98" s="3" t="s">
        <v>139</v>
      </c>
      <c r="G98" s="3" t="s">
        <v>149</v>
      </c>
      <c r="H98" s="3">
        <v>9.1</v>
      </c>
    </row>
    <row r="99" spans="1:8" x14ac:dyDescent="0.25">
      <c r="A99" s="3" t="s">
        <v>6</v>
      </c>
      <c r="B99" s="8">
        <v>45850</v>
      </c>
      <c r="C99" s="9">
        <v>0.32916666666666666</v>
      </c>
      <c r="D99" s="9">
        <v>0.72430555555555554</v>
      </c>
      <c r="F99" s="3" t="s">
        <v>140</v>
      </c>
      <c r="G99" s="3" t="s">
        <v>150</v>
      </c>
      <c r="H99">
        <v>9.5</v>
      </c>
    </row>
    <row r="100" spans="1:8" x14ac:dyDescent="0.25">
      <c r="A100" s="3" t="s">
        <v>13</v>
      </c>
      <c r="B100" s="8">
        <v>45850</v>
      </c>
      <c r="C100" s="9">
        <v>0.33958333333333335</v>
      </c>
      <c r="D100" s="9">
        <v>0.71736111111111112</v>
      </c>
      <c r="F100" s="3" t="s">
        <v>141</v>
      </c>
      <c r="G100" s="3" t="s">
        <v>151</v>
      </c>
      <c r="H100">
        <v>9.1</v>
      </c>
    </row>
    <row r="101" spans="1:8" x14ac:dyDescent="0.25">
      <c r="A101" s="3" t="s">
        <v>7</v>
      </c>
      <c r="B101" s="8">
        <v>45850</v>
      </c>
      <c r="C101" s="9">
        <v>0.33333333333333331</v>
      </c>
      <c r="D101" s="9">
        <v>0.72152777777777777</v>
      </c>
      <c r="F101" s="3" t="s">
        <v>142</v>
      </c>
      <c r="G101" s="3" t="s">
        <v>151</v>
      </c>
      <c r="H101">
        <v>9.3000000000000007</v>
      </c>
    </row>
    <row r="102" spans="1:8" x14ac:dyDescent="0.25">
      <c r="A102" s="3" t="s">
        <v>8</v>
      </c>
      <c r="B102" s="8">
        <v>45850</v>
      </c>
      <c r="C102" s="9">
        <v>0.3298611111111111</v>
      </c>
      <c r="D102" s="9">
        <v>0.7055555555555556</v>
      </c>
      <c r="F102" s="3" t="s">
        <v>143</v>
      </c>
      <c r="G102" s="3" t="s">
        <v>149</v>
      </c>
      <c r="H102">
        <v>9</v>
      </c>
    </row>
    <row r="103" spans="1:8" x14ac:dyDescent="0.25">
      <c r="A103" s="3" t="s">
        <v>9</v>
      </c>
      <c r="B103" s="8">
        <v>45850</v>
      </c>
      <c r="C103" s="9">
        <v>0.3298611111111111</v>
      </c>
      <c r="D103" s="9">
        <v>0.69861111111111107</v>
      </c>
      <c r="F103" s="3" t="s">
        <v>144</v>
      </c>
      <c r="G103" s="3" t="s">
        <v>149</v>
      </c>
      <c r="H103">
        <v>8.8000000000000007</v>
      </c>
    </row>
    <row r="104" spans="1:8" x14ac:dyDescent="0.25">
      <c r="A104" s="3" t="s">
        <v>10</v>
      </c>
      <c r="B104" s="8">
        <v>45850</v>
      </c>
      <c r="C104" s="9">
        <v>0.32708333333333334</v>
      </c>
      <c r="D104" s="9">
        <v>0.69236111111111109</v>
      </c>
      <c r="F104" s="3" t="s">
        <v>145</v>
      </c>
      <c r="G104" s="3" t="s">
        <v>149</v>
      </c>
      <c r="H104">
        <v>8.8000000000000007</v>
      </c>
    </row>
    <row r="105" spans="1:8" x14ac:dyDescent="0.25">
      <c r="A105" s="3" t="s">
        <v>14</v>
      </c>
      <c r="B105" s="8">
        <v>45850</v>
      </c>
      <c r="C105" s="9">
        <v>0.32777777777777778</v>
      </c>
      <c r="D105" s="9">
        <v>0.71319444444444446</v>
      </c>
      <c r="F105" s="3" t="s">
        <v>146</v>
      </c>
      <c r="G105" s="3" t="s">
        <v>150</v>
      </c>
      <c r="H105">
        <v>9.1999999999999993</v>
      </c>
    </row>
    <row r="106" spans="1:8" x14ac:dyDescent="0.25">
      <c r="A106" s="3" t="s">
        <v>11</v>
      </c>
      <c r="B106" s="8">
        <v>45850</v>
      </c>
      <c r="C106" s="9">
        <v>0.32361111111111113</v>
      </c>
      <c r="D106" s="9">
        <v>0.70902777777777781</v>
      </c>
      <c r="F106" s="3" t="s">
        <v>147</v>
      </c>
      <c r="G106" s="3" t="s">
        <v>149</v>
      </c>
      <c r="H106">
        <v>9.1999999999999993</v>
      </c>
    </row>
    <row r="107" spans="1:8" x14ac:dyDescent="0.25">
      <c r="A107" s="3" t="s">
        <v>12</v>
      </c>
      <c r="B107" s="8">
        <v>45850</v>
      </c>
      <c r="C107" s="9">
        <v>0.32777777777777778</v>
      </c>
      <c r="D107" s="9">
        <v>0.6875</v>
      </c>
      <c r="F107" s="3" t="s">
        <v>148</v>
      </c>
      <c r="G107" s="3" t="s">
        <v>151</v>
      </c>
      <c r="H107">
        <v>8.6</v>
      </c>
    </row>
    <row r="108" spans="1:8" x14ac:dyDescent="0.25">
      <c r="A108" s="3" t="s">
        <v>5</v>
      </c>
      <c r="B108" s="8">
        <v>45851</v>
      </c>
      <c r="C108" s="9">
        <v>0.33055555555555555</v>
      </c>
      <c r="D108" s="9">
        <v>0.7055555555555556</v>
      </c>
      <c r="E108" s="3"/>
      <c r="F108" s="3" t="s">
        <v>139</v>
      </c>
      <c r="G108" s="3" t="s">
        <v>149</v>
      </c>
      <c r="H108" s="3">
        <v>9</v>
      </c>
    </row>
    <row r="109" spans="1:8" x14ac:dyDescent="0.25">
      <c r="A109" s="3" t="s">
        <v>6</v>
      </c>
      <c r="B109" s="8">
        <v>45851</v>
      </c>
      <c r="C109" s="9">
        <v>0.33055555555555555</v>
      </c>
      <c r="D109" s="9">
        <v>0.72638888888888886</v>
      </c>
      <c r="F109" s="3" t="s">
        <v>140</v>
      </c>
      <c r="G109" s="3" t="s">
        <v>150</v>
      </c>
      <c r="H109">
        <v>9.5</v>
      </c>
    </row>
    <row r="110" spans="1:8" x14ac:dyDescent="0.25">
      <c r="A110" s="3" t="s">
        <v>13</v>
      </c>
      <c r="B110" s="8">
        <v>45851</v>
      </c>
      <c r="C110" s="9">
        <v>0.32430555555555557</v>
      </c>
      <c r="D110" s="9">
        <v>0.72361111111111109</v>
      </c>
      <c r="F110" s="3" t="s">
        <v>141</v>
      </c>
      <c r="G110" s="3" t="s">
        <v>151</v>
      </c>
      <c r="H110">
        <v>9.6</v>
      </c>
    </row>
    <row r="111" spans="1:8" x14ac:dyDescent="0.25">
      <c r="A111" s="3" t="s">
        <v>7</v>
      </c>
      <c r="B111" s="8">
        <v>45851</v>
      </c>
      <c r="C111" s="9">
        <v>0.33680555555555558</v>
      </c>
      <c r="D111" s="9">
        <v>0.70208333333333328</v>
      </c>
      <c r="F111" s="3" t="s">
        <v>142</v>
      </c>
      <c r="G111" s="3" t="s">
        <v>151</v>
      </c>
      <c r="H111">
        <v>8.8000000000000007</v>
      </c>
    </row>
    <row r="112" spans="1:8" x14ac:dyDescent="0.25">
      <c r="A112" s="3" t="s">
        <v>8</v>
      </c>
      <c r="B112" s="8">
        <v>45851</v>
      </c>
      <c r="C112" s="9">
        <v>0.34166666666666667</v>
      </c>
      <c r="D112" s="9">
        <v>0.70694444444444449</v>
      </c>
      <c r="F112" s="3" t="s">
        <v>143</v>
      </c>
      <c r="G112" s="3" t="s">
        <v>149</v>
      </c>
      <c r="H112">
        <v>8.8000000000000007</v>
      </c>
    </row>
    <row r="113" spans="1:8" x14ac:dyDescent="0.25">
      <c r="A113" s="3" t="s">
        <v>9</v>
      </c>
      <c r="B113" s="8">
        <v>45851</v>
      </c>
      <c r="C113" s="9">
        <v>0.32916666666666666</v>
      </c>
      <c r="D113" s="9">
        <v>0.72638888888888886</v>
      </c>
      <c r="F113" s="3" t="s">
        <v>144</v>
      </c>
      <c r="G113" s="3" t="s">
        <v>149</v>
      </c>
      <c r="H113">
        <v>9.5</v>
      </c>
    </row>
    <row r="114" spans="1:8" x14ac:dyDescent="0.25">
      <c r="A114" s="3" t="s">
        <v>10</v>
      </c>
      <c r="B114" s="8">
        <v>45851</v>
      </c>
      <c r="C114" s="9">
        <v>0.3263888888888889</v>
      </c>
      <c r="D114" s="9">
        <v>0.70277777777777772</v>
      </c>
      <c r="F114" s="3" t="s">
        <v>145</v>
      </c>
      <c r="G114" s="3" t="s">
        <v>149</v>
      </c>
      <c r="H114">
        <v>9</v>
      </c>
    </row>
    <row r="115" spans="1:8" x14ac:dyDescent="0.25">
      <c r="A115" s="3" t="s">
        <v>14</v>
      </c>
      <c r="B115" s="8">
        <v>45851</v>
      </c>
      <c r="C115" s="9">
        <v>0.33194444444444443</v>
      </c>
      <c r="D115" s="9">
        <v>0.6875</v>
      </c>
      <c r="F115" s="3" t="s">
        <v>146</v>
      </c>
      <c r="G115" s="3" t="s">
        <v>150</v>
      </c>
      <c r="H115">
        <v>8.5</v>
      </c>
    </row>
    <row r="116" spans="1:8" x14ac:dyDescent="0.25">
      <c r="A116" s="3" t="s">
        <v>11</v>
      </c>
      <c r="B116" s="8">
        <v>45851</v>
      </c>
      <c r="C116" s="9">
        <v>0.32569444444444445</v>
      </c>
      <c r="D116" s="9">
        <v>0.72569444444444442</v>
      </c>
      <c r="F116" s="3" t="s">
        <v>147</v>
      </c>
      <c r="G116" s="3" t="s">
        <v>149</v>
      </c>
      <c r="H116">
        <v>9.6</v>
      </c>
    </row>
    <row r="117" spans="1:8" x14ac:dyDescent="0.25">
      <c r="A117" s="3" t="s">
        <v>12</v>
      </c>
      <c r="B117" s="8">
        <v>45851</v>
      </c>
      <c r="C117" s="9">
        <v>0.32569444444444445</v>
      </c>
      <c r="D117" s="9">
        <v>0.69722222222222219</v>
      </c>
      <c r="F117" s="3" t="s">
        <v>148</v>
      </c>
      <c r="G117" s="3" t="s">
        <v>151</v>
      </c>
      <c r="H117">
        <v>8.9</v>
      </c>
    </row>
    <row r="118" spans="1:8" x14ac:dyDescent="0.25">
      <c r="A118" s="3" t="s">
        <v>6</v>
      </c>
      <c r="B118" s="8">
        <v>45852</v>
      </c>
      <c r="C118" s="9">
        <v>0.34236111111111112</v>
      </c>
      <c r="D118" s="9">
        <v>0.71597222222222223</v>
      </c>
      <c r="F118" s="3" t="s">
        <v>140</v>
      </c>
      <c r="G118" s="3" t="s">
        <v>150</v>
      </c>
      <c r="H118">
        <v>9</v>
      </c>
    </row>
    <row r="119" spans="1:8" x14ac:dyDescent="0.25">
      <c r="A119" s="3" t="s">
        <v>13</v>
      </c>
      <c r="B119" s="8">
        <v>45852</v>
      </c>
      <c r="C119" s="9">
        <v>0.3298611111111111</v>
      </c>
      <c r="D119" s="9">
        <v>0.70694444444444449</v>
      </c>
      <c r="F119" s="3" t="s">
        <v>141</v>
      </c>
      <c r="G119" s="3" t="s">
        <v>151</v>
      </c>
      <c r="H119">
        <v>9</v>
      </c>
    </row>
    <row r="120" spans="1:8" x14ac:dyDescent="0.25">
      <c r="A120" s="3" t="s">
        <v>7</v>
      </c>
      <c r="B120" s="8">
        <v>45852</v>
      </c>
      <c r="C120" s="9">
        <v>0.3298611111111111</v>
      </c>
      <c r="D120" s="9">
        <v>0.68888888888888888</v>
      </c>
      <c r="F120" s="3" t="s">
        <v>142</v>
      </c>
      <c r="G120" s="3" t="s">
        <v>151</v>
      </c>
      <c r="H120">
        <v>8.6</v>
      </c>
    </row>
    <row r="121" spans="1:8" x14ac:dyDescent="0.25">
      <c r="A121" s="3" t="s">
        <v>8</v>
      </c>
      <c r="B121" s="8">
        <v>45852</v>
      </c>
      <c r="C121" s="9">
        <v>0.3263888888888889</v>
      </c>
      <c r="D121" s="9">
        <v>0.70277777777777772</v>
      </c>
      <c r="F121" s="3" t="s">
        <v>143</v>
      </c>
      <c r="G121" s="3" t="s">
        <v>149</v>
      </c>
      <c r="H121">
        <v>9</v>
      </c>
    </row>
    <row r="122" spans="1:8" x14ac:dyDescent="0.25">
      <c r="A122" s="3" t="s">
        <v>9</v>
      </c>
      <c r="B122" s="8">
        <v>45852</v>
      </c>
      <c r="C122" s="9">
        <v>0.32916666666666666</v>
      </c>
      <c r="D122" s="9">
        <v>0.69861111111111107</v>
      </c>
      <c r="F122" s="3" t="s">
        <v>144</v>
      </c>
      <c r="G122" s="3" t="s">
        <v>149</v>
      </c>
      <c r="H122">
        <v>8.9</v>
      </c>
    </row>
    <row r="123" spans="1:8" x14ac:dyDescent="0.25">
      <c r="A123" s="3" t="s">
        <v>10</v>
      </c>
      <c r="B123" s="8">
        <v>45852</v>
      </c>
      <c r="C123" s="9">
        <v>0.32777777777777778</v>
      </c>
      <c r="D123" s="9">
        <v>0.71319444444444446</v>
      </c>
      <c r="F123" s="3" t="s">
        <v>145</v>
      </c>
      <c r="G123" s="3" t="s">
        <v>149</v>
      </c>
      <c r="H123">
        <v>9.1999999999999993</v>
      </c>
    </row>
    <row r="124" spans="1:8" x14ac:dyDescent="0.25">
      <c r="A124" s="3" t="s">
        <v>14</v>
      </c>
      <c r="B124" s="8">
        <v>45852</v>
      </c>
      <c r="C124" s="9">
        <v>0.3298611111111111</v>
      </c>
      <c r="D124" s="9">
        <v>0.71666666666666667</v>
      </c>
      <c r="F124" s="3" t="s">
        <v>146</v>
      </c>
      <c r="G124" s="3" t="s">
        <v>150</v>
      </c>
      <c r="H124">
        <v>9.3000000000000007</v>
      </c>
    </row>
    <row r="125" spans="1:8" x14ac:dyDescent="0.25">
      <c r="A125" s="3" t="s">
        <v>11</v>
      </c>
      <c r="B125" s="8">
        <v>45852</v>
      </c>
      <c r="C125" s="9">
        <v>0.32777777777777778</v>
      </c>
      <c r="D125" s="9">
        <v>0.72847222222222219</v>
      </c>
      <c r="F125" s="3" t="s">
        <v>147</v>
      </c>
      <c r="G125" s="3" t="s">
        <v>149</v>
      </c>
      <c r="H125">
        <v>9.6</v>
      </c>
    </row>
    <row r="126" spans="1:8" x14ac:dyDescent="0.25">
      <c r="A126" s="3" t="s">
        <v>12</v>
      </c>
      <c r="B126" s="8">
        <v>45852</v>
      </c>
      <c r="C126" s="9">
        <v>0.33194444444444443</v>
      </c>
      <c r="D126" s="9">
        <v>0.72361111111111109</v>
      </c>
      <c r="F126" s="3" t="s">
        <v>148</v>
      </c>
      <c r="G126" s="3" t="s">
        <v>151</v>
      </c>
      <c r="H126">
        <v>9.4</v>
      </c>
    </row>
    <row r="127" spans="1:8" x14ac:dyDescent="0.25">
      <c r="A127" s="3" t="s">
        <v>5</v>
      </c>
      <c r="B127" s="8">
        <v>45853</v>
      </c>
      <c r="C127" s="9">
        <v>0.33124999999999999</v>
      </c>
      <c r="D127" s="9">
        <v>0.70347222222222228</v>
      </c>
      <c r="E127" s="3"/>
      <c r="F127" s="3" t="s">
        <v>139</v>
      </c>
      <c r="G127" s="3" t="s">
        <v>149</v>
      </c>
      <c r="H127" s="3">
        <v>8.9</v>
      </c>
    </row>
    <row r="128" spans="1:8" x14ac:dyDescent="0.25">
      <c r="A128" s="3" t="s">
        <v>6</v>
      </c>
      <c r="B128" s="8">
        <v>45853</v>
      </c>
      <c r="C128" s="9">
        <v>0.34305555555555556</v>
      </c>
      <c r="D128" s="9">
        <v>0.71180555555555558</v>
      </c>
      <c r="F128" s="3" t="s">
        <v>140</v>
      </c>
      <c r="G128" s="3" t="s">
        <v>150</v>
      </c>
      <c r="H128">
        <v>8.8000000000000007</v>
      </c>
    </row>
    <row r="129" spans="1:8" x14ac:dyDescent="0.25">
      <c r="A129" s="3" t="s">
        <v>13</v>
      </c>
      <c r="B129" s="8">
        <v>45853</v>
      </c>
      <c r="C129" s="9">
        <v>0.33819444444444446</v>
      </c>
      <c r="D129" s="9">
        <v>0.70833333333333337</v>
      </c>
      <c r="F129" s="3" t="s">
        <v>141</v>
      </c>
      <c r="G129" s="3" t="s">
        <v>151</v>
      </c>
      <c r="H129">
        <v>8.9</v>
      </c>
    </row>
    <row r="130" spans="1:8" x14ac:dyDescent="0.25">
      <c r="A130" s="3" t="s">
        <v>7</v>
      </c>
      <c r="B130" s="8">
        <v>45853</v>
      </c>
      <c r="C130" s="9">
        <v>0.3298611111111111</v>
      </c>
      <c r="D130" s="9">
        <v>0.70208333333333328</v>
      </c>
      <c r="F130" s="3" t="s">
        <v>142</v>
      </c>
      <c r="G130" s="3" t="s">
        <v>151</v>
      </c>
      <c r="H130">
        <v>8.9</v>
      </c>
    </row>
    <row r="131" spans="1:8" x14ac:dyDescent="0.25">
      <c r="A131" s="3" t="s">
        <v>8</v>
      </c>
      <c r="B131" s="8">
        <v>45853</v>
      </c>
      <c r="C131" s="9">
        <v>0.3298611111111111</v>
      </c>
      <c r="D131" s="9">
        <v>0.71875</v>
      </c>
      <c r="F131" s="3" t="s">
        <v>143</v>
      </c>
      <c r="G131" s="3" t="s">
        <v>149</v>
      </c>
      <c r="H131">
        <v>9.3000000000000007</v>
      </c>
    </row>
    <row r="132" spans="1:8" x14ac:dyDescent="0.25">
      <c r="A132" s="3" t="s">
        <v>9</v>
      </c>
      <c r="B132" s="8">
        <v>45853</v>
      </c>
      <c r="C132" s="9">
        <v>0.33402777777777776</v>
      </c>
      <c r="D132" s="9">
        <v>0.72083333333333333</v>
      </c>
      <c r="F132" s="3" t="s">
        <v>144</v>
      </c>
      <c r="G132" s="3" t="s">
        <v>149</v>
      </c>
      <c r="H132">
        <v>9.3000000000000007</v>
      </c>
    </row>
    <row r="133" spans="1:8" x14ac:dyDescent="0.25">
      <c r="A133" s="3" t="s">
        <v>10</v>
      </c>
      <c r="B133" s="8">
        <v>45853</v>
      </c>
      <c r="C133" s="9">
        <v>0.33819444444444446</v>
      </c>
      <c r="D133" s="9">
        <v>0.6875</v>
      </c>
      <c r="F133" s="3" t="s">
        <v>145</v>
      </c>
      <c r="G133" s="3" t="s">
        <v>149</v>
      </c>
      <c r="H133">
        <v>8.4</v>
      </c>
    </row>
    <row r="134" spans="1:8" x14ac:dyDescent="0.25">
      <c r="A134" s="3" t="s">
        <v>14</v>
      </c>
      <c r="B134" s="8">
        <v>45853</v>
      </c>
      <c r="C134" s="9">
        <v>0.3263888888888889</v>
      </c>
      <c r="D134" s="9">
        <v>0.69027777777777777</v>
      </c>
      <c r="F134" s="3" t="s">
        <v>146</v>
      </c>
      <c r="G134" s="3" t="s">
        <v>150</v>
      </c>
      <c r="H134">
        <v>8.6999999999999993</v>
      </c>
    </row>
    <row r="135" spans="1:8" x14ac:dyDescent="0.25">
      <c r="A135" s="3" t="s">
        <v>11</v>
      </c>
      <c r="B135" s="8">
        <v>45853</v>
      </c>
      <c r="C135" s="9">
        <v>0.32291666666666669</v>
      </c>
      <c r="D135" s="9">
        <v>0.69305555555555554</v>
      </c>
      <c r="F135" s="3" t="s">
        <v>147</v>
      </c>
      <c r="G135" s="3" t="s">
        <v>149</v>
      </c>
      <c r="H135">
        <v>8.9</v>
      </c>
    </row>
    <row r="136" spans="1:8" x14ac:dyDescent="0.25">
      <c r="A136" s="3" t="s">
        <v>12</v>
      </c>
      <c r="B136" s="8">
        <v>45853</v>
      </c>
      <c r="C136" s="9">
        <v>0.33611111111111114</v>
      </c>
      <c r="D136" s="9">
        <v>0.69791666666666663</v>
      </c>
      <c r="F136" s="3" t="s">
        <v>148</v>
      </c>
      <c r="G136" s="3" t="s">
        <v>151</v>
      </c>
      <c r="H136">
        <v>8.6999999999999993</v>
      </c>
    </row>
    <row r="137" spans="1:8" x14ac:dyDescent="0.25">
      <c r="A137" s="3" t="s">
        <v>13</v>
      </c>
      <c r="B137" s="8">
        <v>45854</v>
      </c>
      <c r="C137" s="9">
        <v>0.32500000000000001</v>
      </c>
      <c r="D137" s="9">
        <v>0.72152777777777777</v>
      </c>
      <c r="F137" s="3" t="s">
        <v>141</v>
      </c>
      <c r="G137" s="3" t="s">
        <v>151</v>
      </c>
      <c r="H137">
        <v>9.5</v>
      </c>
    </row>
    <row r="138" spans="1:8" x14ac:dyDescent="0.25">
      <c r="A138" s="3" t="s">
        <v>7</v>
      </c>
      <c r="B138" s="8">
        <v>45854</v>
      </c>
      <c r="C138" s="9">
        <v>0.3347222222222222</v>
      </c>
      <c r="D138" s="9">
        <v>0.69374999999999998</v>
      </c>
      <c r="F138" s="3" t="s">
        <v>142</v>
      </c>
      <c r="G138" s="3" t="s">
        <v>151</v>
      </c>
      <c r="H138">
        <v>8.6</v>
      </c>
    </row>
    <row r="139" spans="1:8" x14ac:dyDescent="0.25">
      <c r="A139" s="3" t="s">
        <v>8</v>
      </c>
      <c r="B139" s="8">
        <v>45854</v>
      </c>
      <c r="C139" s="9">
        <v>0.33402777777777776</v>
      </c>
      <c r="D139" s="9">
        <v>0.71180555555555558</v>
      </c>
      <c r="F139" s="3" t="s">
        <v>143</v>
      </c>
      <c r="G139" s="3" t="s">
        <v>149</v>
      </c>
      <c r="H139">
        <v>9.1</v>
      </c>
    </row>
    <row r="140" spans="1:8" x14ac:dyDescent="0.25">
      <c r="A140" s="3" t="s">
        <v>9</v>
      </c>
      <c r="B140" s="8">
        <v>45854</v>
      </c>
      <c r="C140" s="9">
        <v>0.32291666666666669</v>
      </c>
      <c r="D140" s="9">
        <v>0.71944444444444444</v>
      </c>
      <c r="F140" s="3" t="s">
        <v>144</v>
      </c>
      <c r="G140" s="3" t="s">
        <v>149</v>
      </c>
      <c r="H140">
        <v>9.5</v>
      </c>
    </row>
    <row r="141" spans="1:8" x14ac:dyDescent="0.25">
      <c r="A141" s="3" t="s">
        <v>10</v>
      </c>
      <c r="B141" s="8">
        <v>45854</v>
      </c>
      <c r="C141" s="9">
        <v>0.34166666666666667</v>
      </c>
      <c r="D141" s="9">
        <v>0.70833333333333337</v>
      </c>
      <c r="F141" s="3" t="s">
        <v>145</v>
      </c>
      <c r="G141" s="3" t="s">
        <v>149</v>
      </c>
      <c r="H141">
        <v>8.8000000000000007</v>
      </c>
    </row>
    <row r="142" spans="1:8" x14ac:dyDescent="0.25">
      <c r="A142" s="3" t="s">
        <v>14</v>
      </c>
      <c r="B142" s="8">
        <v>45854</v>
      </c>
      <c r="C142" s="9">
        <v>0.34305555555555556</v>
      </c>
      <c r="D142" s="9">
        <v>0.71597222222222223</v>
      </c>
      <c r="F142" s="3" t="s">
        <v>146</v>
      </c>
      <c r="G142" s="3" t="s">
        <v>150</v>
      </c>
      <c r="H142">
        <v>9</v>
      </c>
    </row>
    <row r="143" spans="1:8" x14ac:dyDescent="0.25">
      <c r="A143" s="3" t="s">
        <v>11</v>
      </c>
      <c r="B143" s="8">
        <v>45854</v>
      </c>
      <c r="C143" s="9">
        <v>0.34305555555555556</v>
      </c>
      <c r="D143" s="9">
        <v>0.70208333333333328</v>
      </c>
      <c r="F143" s="3" t="s">
        <v>147</v>
      </c>
      <c r="G143" s="3" t="s">
        <v>149</v>
      </c>
      <c r="H143">
        <v>8.6</v>
      </c>
    </row>
    <row r="144" spans="1:8" x14ac:dyDescent="0.25">
      <c r="A144" s="3" t="s">
        <v>6</v>
      </c>
      <c r="B144" s="8">
        <v>45855</v>
      </c>
      <c r="C144" s="9">
        <v>0.33333333333333331</v>
      </c>
      <c r="D144" s="9">
        <v>0.71458333333333335</v>
      </c>
      <c r="F144" s="3" t="s">
        <v>140</v>
      </c>
      <c r="G144" s="3" t="s">
        <v>150</v>
      </c>
      <c r="H144">
        <v>9.1999999999999993</v>
      </c>
    </row>
    <row r="145" spans="1:8" x14ac:dyDescent="0.25">
      <c r="A145" s="3" t="s">
        <v>13</v>
      </c>
      <c r="B145" s="8">
        <v>45855</v>
      </c>
      <c r="C145" s="9">
        <v>0.33819444444444446</v>
      </c>
      <c r="D145" s="9">
        <v>0.71597222222222223</v>
      </c>
      <c r="F145" s="3" t="s">
        <v>141</v>
      </c>
      <c r="G145" s="3" t="s">
        <v>151</v>
      </c>
      <c r="H145">
        <v>9.1</v>
      </c>
    </row>
    <row r="146" spans="1:8" x14ac:dyDescent="0.25">
      <c r="A146" s="3" t="s">
        <v>7</v>
      </c>
      <c r="B146" s="8">
        <v>45855</v>
      </c>
      <c r="C146" s="9">
        <v>0.33680555555555558</v>
      </c>
      <c r="D146" s="9">
        <v>0.71319444444444446</v>
      </c>
      <c r="F146" s="3" t="s">
        <v>142</v>
      </c>
      <c r="G146" s="3" t="s">
        <v>151</v>
      </c>
      <c r="H146">
        <v>9</v>
      </c>
    </row>
    <row r="147" spans="1:8" x14ac:dyDescent="0.25">
      <c r="A147" s="3" t="s">
        <v>8</v>
      </c>
      <c r="B147" s="8">
        <v>45855</v>
      </c>
      <c r="C147" s="9">
        <v>0.33194444444444443</v>
      </c>
      <c r="D147" s="9">
        <v>0.71597222222222223</v>
      </c>
      <c r="F147" s="3" t="s">
        <v>143</v>
      </c>
      <c r="G147" s="3" t="s">
        <v>149</v>
      </c>
      <c r="H147">
        <v>9.1999999999999993</v>
      </c>
    </row>
    <row r="148" spans="1:8" x14ac:dyDescent="0.25">
      <c r="A148" s="3" t="s">
        <v>10</v>
      </c>
      <c r="B148" s="8">
        <v>45855</v>
      </c>
      <c r="C148" s="9">
        <v>0.32361111111111113</v>
      </c>
      <c r="D148" s="9">
        <v>0.72083333333333333</v>
      </c>
      <c r="F148" s="3" t="s">
        <v>145</v>
      </c>
      <c r="G148" s="3" t="s">
        <v>149</v>
      </c>
      <c r="H148">
        <v>9.5</v>
      </c>
    </row>
    <row r="149" spans="1:8" x14ac:dyDescent="0.25">
      <c r="A149" s="3" t="s">
        <v>14</v>
      </c>
      <c r="B149" s="8">
        <v>45855</v>
      </c>
      <c r="C149" s="9">
        <v>0.3263888888888889</v>
      </c>
      <c r="D149" s="9">
        <v>0.70694444444444449</v>
      </c>
      <c r="F149" s="3" t="s">
        <v>146</v>
      </c>
      <c r="G149" s="3" t="s">
        <v>150</v>
      </c>
      <c r="H149">
        <v>9.1</v>
      </c>
    </row>
    <row r="150" spans="1:8" x14ac:dyDescent="0.25">
      <c r="A150" s="3" t="s">
        <v>11</v>
      </c>
      <c r="B150" s="8">
        <v>45855</v>
      </c>
      <c r="C150" s="9">
        <v>0.33541666666666664</v>
      </c>
      <c r="D150" s="9">
        <v>0.72916666666666663</v>
      </c>
      <c r="F150" s="3" t="s">
        <v>147</v>
      </c>
      <c r="G150" s="3" t="s">
        <v>149</v>
      </c>
      <c r="H150">
        <v>9.4</v>
      </c>
    </row>
    <row r="151" spans="1:8" x14ac:dyDescent="0.25">
      <c r="A151" s="3" t="s">
        <v>12</v>
      </c>
      <c r="B151" s="8">
        <v>45855</v>
      </c>
      <c r="C151" s="9">
        <v>0.32847222222222222</v>
      </c>
      <c r="D151" s="9">
        <v>0.71458333333333335</v>
      </c>
      <c r="F151" s="3" t="s">
        <v>148</v>
      </c>
      <c r="G151" s="3" t="s">
        <v>151</v>
      </c>
      <c r="H151">
        <v>9.3000000000000007</v>
      </c>
    </row>
    <row r="152" spans="1:8" x14ac:dyDescent="0.25">
      <c r="A152" s="3" t="s">
        <v>5</v>
      </c>
      <c r="B152" s="8">
        <v>45856</v>
      </c>
      <c r="C152" s="9">
        <v>0.32916666666666666</v>
      </c>
      <c r="D152" s="9">
        <v>0.69374999999999998</v>
      </c>
      <c r="E152" s="3"/>
      <c r="F152" s="3" t="s">
        <v>139</v>
      </c>
      <c r="G152" s="3" t="s">
        <v>149</v>
      </c>
      <c r="H152" s="3">
        <v>8.8000000000000007</v>
      </c>
    </row>
    <row r="153" spans="1:8" x14ac:dyDescent="0.25">
      <c r="A153" s="3" t="s">
        <v>13</v>
      </c>
      <c r="B153" s="8">
        <v>45856</v>
      </c>
      <c r="C153" s="9">
        <v>0.33333333333333331</v>
      </c>
      <c r="D153" s="9">
        <v>0.71805555555555556</v>
      </c>
      <c r="F153" s="3" t="s">
        <v>141</v>
      </c>
      <c r="G153" s="3" t="s">
        <v>151</v>
      </c>
      <c r="H153">
        <v>9.1999999999999993</v>
      </c>
    </row>
    <row r="154" spans="1:8" x14ac:dyDescent="0.25">
      <c r="A154" s="3" t="s">
        <v>7</v>
      </c>
      <c r="B154" s="8">
        <v>45856</v>
      </c>
      <c r="C154" s="9">
        <v>0.32847222222222222</v>
      </c>
      <c r="D154" s="9">
        <v>0.71736111111111112</v>
      </c>
      <c r="F154" s="3" t="s">
        <v>142</v>
      </c>
      <c r="G154" s="3" t="s">
        <v>151</v>
      </c>
      <c r="H154">
        <v>9.3000000000000007</v>
      </c>
    </row>
    <row r="155" spans="1:8" x14ac:dyDescent="0.25">
      <c r="A155" s="3" t="s">
        <v>8</v>
      </c>
      <c r="B155" s="8">
        <v>45856</v>
      </c>
      <c r="C155" s="9">
        <v>0.32569444444444445</v>
      </c>
      <c r="D155" s="9">
        <v>0.72847222222222219</v>
      </c>
      <c r="F155" s="3" t="s">
        <v>143</v>
      </c>
      <c r="G155" s="3" t="s">
        <v>149</v>
      </c>
      <c r="H155">
        <v>9.6999999999999993</v>
      </c>
    </row>
    <row r="156" spans="1:8" x14ac:dyDescent="0.25">
      <c r="A156" s="3" t="s">
        <v>9</v>
      </c>
      <c r="B156" s="8">
        <v>45856</v>
      </c>
      <c r="C156" s="9">
        <v>0.3298611111111111</v>
      </c>
      <c r="D156" s="9">
        <v>0.69513888888888886</v>
      </c>
      <c r="F156" s="3" t="s">
        <v>144</v>
      </c>
      <c r="G156" s="3" t="s">
        <v>149</v>
      </c>
      <c r="H156">
        <v>8.8000000000000007</v>
      </c>
    </row>
    <row r="157" spans="1:8" x14ac:dyDescent="0.25">
      <c r="A157" s="3" t="s">
        <v>10</v>
      </c>
      <c r="B157" s="8">
        <v>45856</v>
      </c>
      <c r="C157" s="9">
        <v>0.32708333333333334</v>
      </c>
      <c r="D157" s="9">
        <v>0.71944444444444444</v>
      </c>
      <c r="F157" s="3" t="s">
        <v>145</v>
      </c>
      <c r="G157" s="3" t="s">
        <v>149</v>
      </c>
      <c r="H157">
        <v>9.4</v>
      </c>
    </row>
    <row r="158" spans="1:8" x14ac:dyDescent="0.25">
      <c r="A158" s="3" t="s">
        <v>14</v>
      </c>
      <c r="B158" s="8">
        <v>45856</v>
      </c>
      <c r="C158" s="9">
        <v>0.32708333333333334</v>
      </c>
      <c r="D158" s="9">
        <v>0.71111111111111114</v>
      </c>
      <c r="F158" s="3" t="s">
        <v>146</v>
      </c>
      <c r="G158" s="3" t="s">
        <v>150</v>
      </c>
      <c r="H158">
        <v>9.1999999999999993</v>
      </c>
    </row>
    <row r="159" spans="1:8" x14ac:dyDescent="0.25">
      <c r="A159" s="3" t="s">
        <v>11</v>
      </c>
      <c r="B159" s="8">
        <v>45856</v>
      </c>
      <c r="C159" s="9">
        <v>0.32847222222222222</v>
      </c>
      <c r="D159" s="9">
        <v>0.69166666666666665</v>
      </c>
      <c r="F159" s="3" t="s">
        <v>147</v>
      </c>
      <c r="G159" s="3" t="s">
        <v>149</v>
      </c>
      <c r="H159">
        <v>8.6999999999999993</v>
      </c>
    </row>
    <row r="160" spans="1:8" x14ac:dyDescent="0.25">
      <c r="A160" s="3" t="s">
        <v>12</v>
      </c>
      <c r="B160" s="8">
        <v>45856</v>
      </c>
      <c r="C160" s="9">
        <v>0.32708333333333334</v>
      </c>
      <c r="D160" s="9">
        <v>0.70486111111111116</v>
      </c>
      <c r="F160" s="3" t="s">
        <v>148</v>
      </c>
      <c r="G160" s="3" t="s">
        <v>151</v>
      </c>
      <c r="H160">
        <v>9.1</v>
      </c>
    </row>
    <row r="161" spans="1:8" x14ac:dyDescent="0.25">
      <c r="A161" s="3" t="s">
        <v>5</v>
      </c>
      <c r="B161" s="8">
        <v>45857</v>
      </c>
      <c r="C161" s="9">
        <v>0.32708333333333334</v>
      </c>
      <c r="D161" s="9">
        <v>0.7</v>
      </c>
      <c r="E161" s="3"/>
      <c r="F161" s="3" t="s">
        <v>139</v>
      </c>
      <c r="G161" s="3" t="s">
        <v>149</v>
      </c>
      <c r="H161" s="3">
        <v>9</v>
      </c>
    </row>
    <row r="162" spans="1:8" x14ac:dyDescent="0.25">
      <c r="A162" s="3" t="s">
        <v>6</v>
      </c>
      <c r="B162" s="8">
        <v>45857</v>
      </c>
      <c r="C162" s="9">
        <v>0.33611111111111114</v>
      </c>
      <c r="D162" s="9">
        <v>0.70347222222222228</v>
      </c>
      <c r="F162" s="3" t="s">
        <v>140</v>
      </c>
      <c r="G162" s="3" t="s">
        <v>150</v>
      </c>
      <c r="H162">
        <v>8.8000000000000007</v>
      </c>
    </row>
    <row r="163" spans="1:8" x14ac:dyDescent="0.25">
      <c r="A163" s="3" t="s">
        <v>13</v>
      </c>
      <c r="B163" s="8">
        <v>45857</v>
      </c>
      <c r="C163" s="9">
        <v>0.3298611111111111</v>
      </c>
      <c r="D163" s="9">
        <v>0.72777777777777775</v>
      </c>
      <c r="F163" s="3" t="s">
        <v>141</v>
      </c>
      <c r="G163" s="3" t="s">
        <v>151</v>
      </c>
      <c r="H163">
        <v>9.6</v>
      </c>
    </row>
    <row r="164" spans="1:8" x14ac:dyDescent="0.25">
      <c r="A164" s="3" t="s">
        <v>7</v>
      </c>
      <c r="B164" s="8">
        <v>45857</v>
      </c>
      <c r="C164" s="9">
        <v>0.33194444444444443</v>
      </c>
      <c r="D164" s="9">
        <v>0.72152777777777777</v>
      </c>
      <c r="F164" s="3" t="s">
        <v>142</v>
      </c>
      <c r="G164" s="3" t="s">
        <v>151</v>
      </c>
      <c r="H164">
        <v>9.4</v>
      </c>
    </row>
    <row r="165" spans="1:8" x14ac:dyDescent="0.25">
      <c r="A165" s="3" t="s">
        <v>9</v>
      </c>
      <c r="B165" s="8">
        <v>45857</v>
      </c>
      <c r="C165" s="9">
        <v>0.3263888888888889</v>
      </c>
      <c r="D165" s="9">
        <v>0.70347222222222228</v>
      </c>
      <c r="F165" s="3" t="s">
        <v>144</v>
      </c>
      <c r="G165" s="3" t="s">
        <v>149</v>
      </c>
      <c r="H165">
        <v>9</v>
      </c>
    </row>
    <row r="166" spans="1:8" x14ac:dyDescent="0.25">
      <c r="A166" s="3" t="s">
        <v>10</v>
      </c>
      <c r="B166" s="8">
        <v>45857</v>
      </c>
      <c r="C166" s="9">
        <v>0.33263888888888887</v>
      </c>
      <c r="D166" s="9">
        <v>0.68958333333333333</v>
      </c>
      <c r="F166" s="3" t="s">
        <v>145</v>
      </c>
      <c r="G166" s="3" t="s">
        <v>149</v>
      </c>
      <c r="H166">
        <v>8.6</v>
      </c>
    </row>
    <row r="167" spans="1:8" x14ac:dyDescent="0.25">
      <c r="A167" s="3" t="s">
        <v>14</v>
      </c>
      <c r="B167" s="8">
        <v>45857</v>
      </c>
      <c r="C167" s="9">
        <v>0.33958333333333335</v>
      </c>
      <c r="D167" s="9">
        <v>0.70347222222222228</v>
      </c>
      <c r="F167" s="3" t="s">
        <v>146</v>
      </c>
      <c r="G167" s="3" t="s">
        <v>150</v>
      </c>
      <c r="H167">
        <v>8.6999999999999993</v>
      </c>
    </row>
    <row r="168" spans="1:8" x14ac:dyDescent="0.25">
      <c r="A168" s="3" t="s">
        <v>12</v>
      </c>
      <c r="B168" s="8">
        <v>45857</v>
      </c>
      <c r="C168" s="9">
        <v>0.3298611111111111</v>
      </c>
      <c r="D168" s="9">
        <v>0.70486111111111116</v>
      </c>
      <c r="F168" s="3" t="s">
        <v>148</v>
      </c>
      <c r="G168" s="3" t="s">
        <v>151</v>
      </c>
      <c r="H168">
        <v>9</v>
      </c>
    </row>
    <row r="169" spans="1:8" x14ac:dyDescent="0.25">
      <c r="A169" s="3" t="s">
        <v>5</v>
      </c>
      <c r="B169" s="8">
        <v>45858</v>
      </c>
      <c r="C169" s="9">
        <v>0.33124999999999999</v>
      </c>
      <c r="D169" s="9">
        <v>0.7</v>
      </c>
      <c r="E169" s="3"/>
      <c r="F169" s="3" t="s">
        <v>139</v>
      </c>
      <c r="G169" s="3" t="s">
        <v>149</v>
      </c>
      <c r="H169" s="3">
        <v>8.8000000000000007</v>
      </c>
    </row>
    <row r="170" spans="1:8" x14ac:dyDescent="0.25">
      <c r="A170" s="3" t="s">
        <v>6</v>
      </c>
      <c r="B170" s="8">
        <v>45858</v>
      </c>
      <c r="C170" s="9">
        <v>0.32847222222222222</v>
      </c>
      <c r="D170" s="9">
        <v>0.71944444444444444</v>
      </c>
      <c r="F170" s="3" t="s">
        <v>140</v>
      </c>
      <c r="G170" s="3" t="s">
        <v>150</v>
      </c>
      <c r="H170">
        <v>9.4</v>
      </c>
    </row>
    <row r="171" spans="1:8" x14ac:dyDescent="0.25">
      <c r="A171" s="3" t="s">
        <v>13</v>
      </c>
      <c r="B171" s="8">
        <v>45858</v>
      </c>
      <c r="C171" s="9">
        <v>0.33055555555555555</v>
      </c>
      <c r="D171" s="9">
        <v>0.70416666666666672</v>
      </c>
      <c r="F171" s="3" t="s">
        <v>141</v>
      </c>
      <c r="G171" s="3" t="s">
        <v>151</v>
      </c>
      <c r="H171">
        <v>9</v>
      </c>
    </row>
    <row r="172" spans="1:8" x14ac:dyDescent="0.25">
      <c r="A172" s="3" t="s">
        <v>7</v>
      </c>
      <c r="B172" s="8">
        <v>45858</v>
      </c>
      <c r="C172" s="9">
        <v>0.32777777777777778</v>
      </c>
      <c r="D172" s="9">
        <v>0.7270833333333333</v>
      </c>
      <c r="F172" s="3" t="s">
        <v>142</v>
      </c>
      <c r="G172" s="3" t="s">
        <v>151</v>
      </c>
      <c r="H172">
        <v>9.6</v>
      </c>
    </row>
    <row r="173" spans="1:8" x14ac:dyDescent="0.25">
      <c r="A173" s="3" t="s">
        <v>8</v>
      </c>
      <c r="B173" s="8">
        <v>45858</v>
      </c>
      <c r="C173" s="9">
        <v>0.32361111111111113</v>
      </c>
      <c r="D173" s="9">
        <v>0.68819444444444444</v>
      </c>
      <c r="F173" s="3" t="s">
        <v>143</v>
      </c>
      <c r="G173" s="3" t="s">
        <v>149</v>
      </c>
      <c r="H173">
        <v>8.8000000000000007</v>
      </c>
    </row>
    <row r="174" spans="1:8" x14ac:dyDescent="0.25">
      <c r="A174" s="3" t="s">
        <v>9</v>
      </c>
      <c r="B174" s="8">
        <v>45858</v>
      </c>
      <c r="C174" s="9">
        <v>0.34236111111111112</v>
      </c>
      <c r="D174" s="9">
        <v>0.71736111111111112</v>
      </c>
      <c r="F174" s="3" t="s">
        <v>144</v>
      </c>
      <c r="G174" s="3" t="s">
        <v>149</v>
      </c>
      <c r="H174">
        <v>9</v>
      </c>
    </row>
    <row r="175" spans="1:8" x14ac:dyDescent="0.25">
      <c r="A175" s="3" t="s">
        <v>11</v>
      </c>
      <c r="B175" s="8">
        <v>45858</v>
      </c>
      <c r="C175" s="9">
        <v>0.33263888888888887</v>
      </c>
      <c r="D175" s="9">
        <v>0.72569444444444442</v>
      </c>
      <c r="F175" s="3" t="s">
        <v>147</v>
      </c>
      <c r="G175" s="3" t="s">
        <v>149</v>
      </c>
      <c r="H175">
        <v>9.4</v>
      </c>
    </row>
    <row r="176" spans="1:8" x14ac:dyDescent="0.25">
      <c r="A176" s="3" t="s">
        <v>12</v>
      </c>
      <c r="B176" s="8">
        <v>45858</v>
      </c>
      <c r="C176" s="9">
        <v>0.33333333333333331</v>
      </c>
      <c r="D176" s="9">
        <v>0.72777777777777775</v>
      </c>
      <c r="F176" s="3" t="s">
        <v>148</v>
      </c>
      <c r="G176" s="3" t="s">
        <v>151</v>
      </c>
      <c r="H176">
        <v>9.5</v>
      </c>
    </row>
    <row r="177" spans="1:8" x14ac:dyDescent="0.25">
      <c r="A177" s="3" t="s">
        <v>6</v>
      </c>
      <c r="B177" s="8">
        <v>45859</v>
      </c>
      <c r="C177" s="9">
        <v>0.33819444444444446</v>
      </c>
      <c r="D177" s="9">
        <v>0.71736111111111112</v>
      </c>
      <c r="F177" s="3" t="s">
        <v>140</v>
      </c>
      <c r="G177" s="3" t="s">
        <v>150</v>
      </c>
      <c r="H177">
        <v>9.1</v>
      </c>
    </row>
    <row r="178" spans="1:8" x14ac:dyDescent="0.25">
      <c r="A178" s="3" t="s">
        <v>7</v>
      </c>
      <c r="B178" s="8">
        <v>45859</v>
      </c>
      <c r="C178" s="9">
        <v>0.33958333333333335</v>
      </c>
      <c r="D178" s="9">
        <v>0.70277777777777772</v>
      </c>
      <c r="F178" s="3" t="s">
        <v>142</v>
      </c>
      <c r="G178" s="3" t="s">
        <v>151</v>
      </c>
      <c r="H178">
        <v>8.6999999999999993</v>
      </c>
    </row>
    <row r="179" spans="1:8" x14ac:dyDescent="0.25">
      <c r="A179" s="3" t="s">
        <v>8</v>
      </c>
      <c r="B179" s="8">
        <v>45859</v>
      </c>
      <c r="C179" s="9">
        <v>0.33263888888888887</v>
      </c>
      <c r="D179" s="9">
        <v>0.70277777777777772</v>
      </c>
      <c r="F179" s="3" t="s">
        <v>143</v>
      </c>
      <c r="G179" s="3" t="s">
        <v>149</v>
      </c>
      <c r="H179">
        <v>8.9</v>
      </c>
    </row>
    <row r="180" spans="1:8" x14ac:dyDescent="0.25">
      <c r="A180" s="3" t="s">
        <v>9</v>
      </c>
      <c r="B180" s="8">
        <v>45859</v>
      </c>
      <c r="C180" s="9">
        <v>0.33611111111111114</v>
      </c>
      <c r="D180" s="9">
        <v>0.71666666666666667</v>
      </c>
      <c r="F180" s="3" t="s">
        <v>144</v>
      </c>
      <c r="G180" s="3" t="s">
        <v>149</v>
      </c>
      <c r="H180">
        <v>9.1</v>
      </c>
    </row>
    <row r="181" spans="1:8" x14ac:dyDescent="0.25">
      <c r="A181" s="3" t="s">
        <v>11</v>
      </c>
      <c r="B181" s="8">
        <v>45859</v>
      </c>
      <c r="C181" s="9">
        <v>0.32708333333333334</v>
      </c>
      <c r="D181" s="9">
        <v>0.69513888888888886</v>
      </c>
      <c r="F181" s="3" t="s">
        <v>147</v>
      </c>
      <c r="G181" s="3" t="s">
        <v>149</v>
      </c>
      <c r="H181">
        <v>8.8000000000000007</v>
      </c>
    </row>
    <row r="182" spans="1:8" x14ac:dyDescent="0.25">
      <c r="A182" s="3" t="s">
        <v>12</v>
      </c>
      <c r="B182" s="8">
        <v>45859</v>
      </c>
      <c r="C182" s="9">
        <v>0.33194444444444443</v>
      </c>
      <c r="D182" s="9">
        <v>0.69166666666666665</v>
      </c>
      <c r="F182" s="3" t="s">
        <v>148</v>
      </c>
      <c r="G182" s="3" t="s">
        <v>151</v>
      </c>
      <c r="H182">
        <v>8.6</v>
      </c>
    </row>
    <row r="183" spans="1:8" x14ac:dyDescent="0.25">
      <c r="A183" s="3" t="s">
        <v>6</v>
      </c>
      <c r="B183" s="8">
        <v>45860</v>
      </c>
      <c r="C183" s="9">
        <v>0.33611111111111114</v>
      </c>
      <c r="D183" s="9">
        <v>0.70625000000000004</v>
      </c>
      <c r="F183" s="3" t="s">
        <v>140</v>
      </c>
      <c r="G183" s="3" t="s">
        <v>150</v>
      </c>
      <c r="H183">
        <v>8.9</v>
      </c>
    </row>
    <row r="184" spans="1:8" x14ac:dyDescent="0.25">
      <c r="A184" s="3" t="s">
        <v>13</v>
      </c>
      <c r="B184" s="8">
        <v>45860</v>
      </c>
      <c r="C184" s="9">
        <v>0.32500000000000001</v>
      </c>
      <c r="D184" s="9">
        <v>0.69791666666666663</v>
      </c>
      <c r="F184" s="3" t="s">
        <v>141</v>
      </c>
      <c r="G184" s="3" t="s">
        <v>151</v>
      </c>
      <c r="H184">
        <v>9</v>
      </c>
    </row>
    <row r="185" spans="1:8" x14ac:dyDescent="0.25">
      <c r="A185" s="3" t="s">
        <v>7</v>
      </c>
      <c r="B185" s="8">
        <v>45860</v>
      </c>
      <c r="C185" s="9">
        <v>0.33333333333333331</v>
      </c>
      <c r="D185" s="9">
        <v>0.7270833333333333</v>
      </c>
      <c r="F185" s="3" t="s">
        <v>142</v>
      </c>
      <c r="G185" s="3" t="s">
        <v>151</v>
      </c>
      <c r="H185">
        <v>9.4</v>
      </c>
    </row>
    <row r="186" spans="1:8" x14ac:dyDescent="0.25">
      <c r="A186" s="3" t="s">
        <v>8</v>
      </c>
      <c r="B186" s="8">
        <v>45860</v>
      </c>
      <c r="C186" s="9">
        <v>0.32847222222222222</v>
      </c>
      <c r="D186" s="9">
        <v>0.70763888888888893</v>
      </c>
      <c r="F186" s="3" t="s">
        <v>143</v>
      </c>
      <c r="G186" s="3" t="s">
        <v>149</v>
      </c>
      <c r="H186">
        <v>9.1</v>
      </c>
    </row>
    <row r="187" spans="1:8" x14ac:dyDescent="0.25">
      <c r="A187" s="3" t="s">
        <v>9</v>
      </c>
      <c r="B187" s="8">
        <v>45860</v>
      </c>
      <c r="C187" s="9">
        <v>0.32291666666666669</v>
      </c>
      <c r="D187" s="9">
        <v>0.71805555555555556</v>
      </c>
      <c r="F187" s="3" t="s">
        <v>144</v>
      </c>
      <c r="G187" s="3" t="s">
        <v>149</v>
      </c>
      <c r="H187">
        <v>9.5</v>
      </c>
    </row>
    <row r="188" spans="1:8" x14ac:dyDescent="0.25">
      <c r="A188" s="3" t="s">
        <v>14</v>
      </c>
      <c r="B188" s="8">
        <v>45860</v>
      </c>
      <c r="C188" s="9">
        <v>0.33680555555555558</v>
      </c>
      <c r="D188" s="9">
        <v>0.7</v>
      </c>
      <c r="F188" s="3" t="s">
        <v>146</v>
      </c>
      <c r="G188" s="3" t="s">
        <v>150</v>
      </c>
      <c r="H188">
        <v>8.6999999999999993</v>
      </c>
    </row>
    <row r="189" spans="1:8" x14ac:dyDescent="0.25">
      <c r="A189" s="3" t="s">
        <v>11</v>
      </c>
      <c r="B189" s="8">
        <v>45860</v>
      </c>
      <c r="C189" s="9">
        <v>0.33194444444444443</v>
      </c>
      <c r="D189" s="9">
        <v>0.6875</v>
      </c>
      <c r="F189" s="3" t="s">
        <v>147</v>
      </c>
      <c r="G189" s="3" t="s">
        <v>149</v>
      </c>
      <c r="H189">
        <v>8.5</v>
      </c>
    </row>
    <row r="190" spans="1:8" x14ac:dyDescent="0.25">
      <c r="A190" s="3" t="s">
        <v>12</v>
      </c>
      <c r="B190" s="8">
        <v>45860</v>
      </c>
      <c r="C190" s="9">
        <v>0.33611111111111114</v>
      </c>
      <c r="D190" s="9">
        <v>0.72291666666666665</v>
      </c>
      <c r="F190" s="3" t="s">
        <v>148</v>
      </c>
      <c r="G190" s="3" t="s">
        <v>151</v>
      </c>
      <c r="H190">
        <v>9.3000000000000007</v>
      </c>
    </row>
    <row r="191" spans="1:8" x14ac:dyDescent="0.25">
      <c r="A191" s="3" t="s">
        <v>5</v>
      </c>
      <c r="B191" s="8">
        <v>45861</v>
      </c>
      <c r="C191" s="9">
        <v>0.33541666666666664</v>
      </c>
      <c r="D191" s="9">
        <v>0.70347222222222228</v>
      </c>
      <c r="E191" s="3"/>
      <c r="F191" s="3" t="s">
        <v>139</v>
      </c>
      <c r="G191" s="3" t="s">
        <v>149</v>
      </c>
      <c r="H191" s="3">
        <v>8.8000000000000007</v>
      </c>
    </row>
    <row r="192" spans="1:8" x14ac:dyDescent="0.25">
      <c r="A192" s="3" t="s">
        <v>6</v>
      </c>
      <c r="B192" s="8">
        <v>45861</v>
      </c>
      <c r="C192" s="9">
        <v>0.34097222222222223</v>
      </c>
      <c r="D192" s="9">
        <v>0.7270833333333333</v>
      </c>
      <c r="F192" s="3" t="s">
        <v>140</v>
      </c>
      <c r="G192" s="3" t="s">
        <v>150</v>
      </c>
      <c r="H192">
        <v>9.3000000000000007</v>
      </c>
    </row>
    <row r="193" spans="1:8" x14ac:dyDescent="0.25">
      <c r="A193" s="3" t="s">
        <v>7</v>
      </c>
      <c r="B193" s="8">
        <v>45861</v>
      </c>
      <c r="C193" s="9">
        <v>0.3347222222222222</v>
      </c>
      <c r="D193" s="9">
        <v>0.71527777777777779</v>
      </c>
      <c r="F193" s="3" t="s">
        <v>142</v>
      </c>
      <c r="G193" s="3" t="s">
        <v>151</v>
      </c>
      <c r="H193">
        <v>9.1</v>
      </c>
    </row>
    <row r="194" spans="1:8" x14ac:dyDescent="0.25">
      <c r="A194" s="3" t="s">
        <v>8</v>
      </c>
      <c r="B194" s="8">
        <v>45861</v>
      </c>
      <c r="C194" s="9">
        <v>0.32430555555555557</v>
      </c>
      <c r="D194" s="9">
        <v>0.69097222222222221</v>
      </c>
      <c r="F194" s="3" t="s">
        <v>143</v>
      </c>
      <c r="G194" s="3" t="s">
        <v>149</v>
      </c>
      <c r="H194">
        <v>8.8000000000000007</v>
      </c>
    </row>
    <row r="195" spans="1:8" x14ac:dyDescent="0.25">
      <c r="A195" s="3" t="s">
        <v>9</v>
      </c>
      <c r="B195" s="8">
        <v>45861</v>
      </c>
      <c r="C195" s="9">
        <v>0.3263888888888889</v>
      </c>
      <c r="D195" s="9">
        <v>0.71319444444444446</v>
      </c>
      <c r="F195" s="3" t="s">
        <v>144</v>
      </c>
      <c r="G195" s="3" t="s">
        <v>149</v>
      </c>
      <c r="H195">
        <v>9.3000000000000007</v>
      </c>
    </row>
    <row r="196" spans="1:8" x14ac:dyDescent="0.25">
      <c r="A196" s="3" t="s">
        <v>14</v>
      </c>
      <c r="B196" s="8">
        <v>45861</v>
      </c>
      <c r="C196" s="9">
        <v>0.3298611111111111</v>
      </c>
      <c r="D196" s="9">
        <v>0.72916666666666663</v>
      </c>
      <c r="F196" s="3" t="s">
        <v>146</v>
      </c>
      <c r="G196" s="3" t="s">
        <v>150</v>
      </c>
      <c r="H196">
        <v>9.6</v>
      </c>
    </row>
    <row r="197" spans="1:8" x14ac:dyDescent="0.25">
      <c r="A197" s="3" t="s">
        <v>11</v>
      </c>
      <c r="B197" s="8">
        <v>45861</v>
      </c>
      <c r="C197" s="9">
        <v>0.34027777777777779</v>
      </c>
      <c r="D197" s="9">
        <v>0.6875</v>
      </c>
      <c r="F197" s="3" t="s">
        <v>147</v>
      </c>
      <c r="G197" s="3" t="s">
        <v>149</v>
      </c>
      <c r="H197">
        <v>8.3000000000000007</v>
      </c>
    </row>
    <row r="198" spans="1:8" x14ac:dyDescent="0.25">
      <c r="A198" s="3" t="s">
        <v>12</v>
      </c>
      <c r="B198" s="8">
        <v>45861</v>
      </c>
      <c r="C198" s="9">
        <v>0.3347222222222222</v>
      </c>
      <c r="D198" s="9">
        <v>0.71250000000000002</v>
      </c>
      <c r="F198" s="3" t="s">
        <v>148</v>
      </c>
      <c r="G198" s="3" t="s">
        <v>151</v>
      </c>
      <c r="H198">
        <v>9.1</v>
      </c>
    </row>
    <row r="199" spans="1:8" x14ac:dyDescent="0.25">
      <c r="A199" s="3" t="s">
        <v>6</v>
      </c>
      <c r="B199" s="8">
        <v>45862</v>
      </c>
      <c r="C199" s="9">
        <v>0.34305555555555556</v>
      </c>
      <c r="D199" s="9">
        <v>0.71180555555555558</v>
      </c>
      <c r="F199" s="3" t="s">
        <v>140</v>
      </c>
      <c r="G199" s="3" t="s">
        <v>150</v>
      </c>
      <c r="H199">
        <v>8.8000000000000007</v>
      </c>
    </row>
    <row r="200" spans="1:8" x14ac:dyDescent="0.25">
      <c r="A200" s="3" t="s">
        <v>13</v>
      </c>
      <c r="B200" s="8">
        <v>45862</v>
      </c>
      <c r="C200" s="9">
        <v>0.32430555555555557</v>
      </c>
      <c r="D200" s="9">
        <v>0.70416666666666672</v>
      </c>
      <c r="F200" s="3" t="s">
        <v>141</v>
      </c>
      <c r="G200" s="3" t="s">
        <v>151</v>
      </c>
      <c r="H200">
        <v>9.1</v>
      </c>
    </row>
    <row r="201" spans="1:8" x14ac:dyDescent="0.25">
      <c r="A201" s="3" t="s">
        <v>7</v>
      </c>
      <c r="B201" s="8">
        <v>45862</v>
      </c>
      <c r="C201" s="9">
        <v>0.3263888888888889</v>
      </c>
      <c r="D201" s="9">
        <v>0.71875</v>
      </c>
      <c r="F201" s="3" t="s">
        <v>142</v>
      </c>
      <c r="G201" s="3" t="s">
        <v>151</v>
      </c>
      <c r="H201">
        <v>9.4</v>
      </c>
    </row>
    <row r="202" spans="1:8" x14ac:dyDescent="0.25">
      <c r="A202" s="3" t="s">
        <v>8</v>
      </c>
      <c r="B202" s="8">
        <v>45862</v>
      </c>
      <c r="C202" s="9">
        <v>0.32500000000000001</v>
      </c>
      <c r="D202" s="9">
        <v>0.70833333333333337</v>
      </c>
      <c r="F202" s="3" t="s">
        <v>143</v>
      </c>
      <c r="G202" s="3" t="s">
        <v>149</v>
      </c>
      <c r="H202">
        <v>9.1999999999999993</v>
      </c>
    </row>
    <row r="203" spans="1:8" x14ac:dyDescent="0.25">
      <c r="A203" s="3" t="s">
        <v>9</v>
      </c>
      <c r="B203" s="8">
        <v>45862</v>
      </c>
      <c r="C203" s="9">
        <v>0.34305555555555556</v>
      </c>
      <c r="D203" s="9">
        <v>0.69374999999999998</v>
      </c>
      <c r="F203" s="3" t="s">
        <v>144</v>
      </c>
      <c r="G203" s="3" t="s">
        <v>149</v>
      </c>
      <c r="H203">
        <v>8.4</v>
      </c>
    </row>
    <row r="204" spans="1:8" x14ac:dyDescent="0.25">
      <c r="A204" s="3" t="s">
        <v>10</v>
      </c>
      <c r="B204" s="8">
        <v>45862</v>
      </c>
      <c r="C204" s="9">
        <v>0.33888888888888891</v>
      </c>
      <c r="D204" s="9">
        <v>0.70972222222222225</v>
      </c>
      <c r="F204" s="3" t="s">
        <v>145</v>
      </c>
      <c r="G204" s="3" t="s">
        <v>149</v>
      </c>
      <c r="H204">
        <v>8.9</v>
      </c>
    </row>
    <row r="205" spans="1:8" x14ac:dyDescent="0.25">
      <c r="A205" s="3" t="s">
        <v>14</v>
      </c>
      <c r="B205" s="8">
        <v>45862</v>
      </c>
      <c r="C205" s="9">
        <v>0.33541666666666664</v>
      </c>
      <c r="D205" s="9">
        <v>0.72013888888888888</v>
      </c>
      <c r="F205" s="3" t="s">
        <v>146</v>
      </c>
      <c r="G205" s="3" t="s">
        <v>150</v>
      </c>
      <c r="H205">
        <v>9.1999999999999993</v>
      </c>
    </row>
    <row r="206" spans="1:8" x14ac:dyDescent="0.25">
      <c r="A206" s="3" t="s">
        <v>11</v>
      </c>
      <c r="B206" s="8">
        <v>45862</v>
      </c>
      <c r="C206" s="9">
        <v>0.34236111111111112</v>
      </c>
      <c r="D206" s="9">
        <v>0.68888888888888888</v>
      </c>
      <c r="F206" s="3" t="s">
        <v>147</v>
      </c>
      <c r="G206" s="3" t="s">
        <v>149</v>
      </c>
      <c r="H206">
        <v>8.3000000000000007</v>
      </c>
    </row>
    <row r="207" spans="1:8" x14ac:dyDescent="0.25">
      <c r="A207" s="3" t="s">
        <v>5</v>
      </c>
      <c r="B207" s="8">
        <v>45863</v>
      </c>
      <c r="C207" s="9">
        <v>0.34097222222222223</v>
      </c>
      <c r="D207" s="9">
        <v>0.7270833333333333</v>
      </c>
      <c r="E207" s="3"/>
      <c r="F207" s="3" t="s">
        <v>139</v>
      </c>
      <c r="G207" s="3" t="s">
        <v>149</v>
      </c>
      <c r="H207" s="3">
        <v>9.3000000000000007</v>
      </c>
    </row>
    <row r="208" spans="1:8" x14ac:dyDescent="0.25">
      <c r="A208" s="3" t="s">
        <v>6</v>
      </c>
      <c r="B208" s="8">
        <v>45863</v>
      </c>
      <c r="C208" s="9">
        <v>0.32569444444444445</v>
      </c>
      <c r="D208" s="9">
        <v>0.71944444444444444</v>
      </c>
      <c r="F208" s="3" t="s">
        <v>140</v>
      </c>
      <c r="G208" s="3" t="s">
        <v>150</v>
      </c>
      <c r="H208">
        <v>9.4</v>
      </c>
    </row>
    <row r="209" spans="1:8" x14ac:dyDescent="0.25">
      <c r="A209" s="3" t="s">
        <v>13</v>
      </c>
      <c r="B209" s="8">
        <v>45863</v>
      </c>
      <c r="C209" s="9">
        <v>0.32916666666666666</v>
      </c>
      <c r="D209" s="9">
        <v>0.70763888888888893</v>
      </c>
      <c r="F209" s="3" t="s">
        <v>141</v>
      </c>
      <c r="G209" s="3" t="s">
        <v>151</v>
      </c>
      <c r="H209">
        <v>9.1</v>
      </c>
    </row>
    <row r="210" spans="1:8" x14ac:dyDescent="0.25">
      <c r="A210" s="3" t="s">
        <v>7</v>
      </c>
      <c r="B210" s="8">
        <v>45863</v>
      </c>
      <c r="C210" s="9">
        <v>0.33611111111111114</v>
      </c>
      <c r="D210" s="9">
        <v>0.6875</v>
      </c>
      <c r="F210" s="3" t="s">
        <v>142</v>
      </c>
      <c r="G210" s="3" t="s">
        <v>151</v>
      </c>
      <c r="H210">
        <v>8.4</v>
      </c>
    </row>
    <row r="211" spans="1:8" x14ac:dyDescent="0.25">
      <c r="A211" s="3" t="s">
        <v>8</v>
      </c>
      <c r="B211" s="8">
        <v>45863</v>
      </c>
      <c r="C211" s="9">
        <v>0.33541666666666664</v>
      </c>
      <c r="D211" s="9">
        <v>0.70416666666666672</v>
      </c>
      <c r="F211" s="3" t="s">
        <v>143</v>
      </c>
      <c r="G211" s="3" t="s">
        <v>149</v>
      </c>
      <c r="H211">
        <v>8.8000000000000007</v>
      </c>
    </row>
    <row r="212" spans="1:8" x14ac:dyDescent="0.25">
      <c r="A212" s="3" t="s">
        <v>14</v>
      </c>
      <c r="B212" s="8">
        <v>45863</v>
      </c>
      <c r="C212" s="9">
        <v>0.33333333333333331</v>
      </c>
      <c r="D212" s="9">
        <v>0.69791666666666663</v>
      </c>
      <c r="F212" s="3" t="s">
        <v>146</v>
      </c>
      <c r="G212" s="3" t="s">
        <v>150</v>
      </c>
      <c r="H212">
        <v>8.8000000000000007</v>
      </c>
    </row>
    <row r="213" spans="1:8" x14ac:dyDescent="0.25">
      <c r="A213" s="3" t="s">
        <v>11</v>
      </c>
      <c r="B213" s="8">
        <v>45863</v>
      </c>
      <c r="C213" s="9">
        <v>0.33611111111111114</v>
      </c>
      <c r="D213" s="9">
        <v>0.72013888888888888</v>
      </c>
      <c r="F213" s="3" t="s">
        <v>147</v>
      </c>
      <c r="G213" s="3" t="s">
        <v>149</v>
      </c>
      <c r="H213">
        <v>9.1999999999999993</v>
      </c>
    </row>
    <row r="214" spans="1:8" x14ac:dyDescent="0.25">
      <c r="A214" s="3" t="s">
        <v>12</v>
      </c>
      <c r="B214" s="8">
        <v>45863</v>
      </c>
      <c r="C214" s="9">
        <v>0.33958333333333335</v>
      </c>
      <c r="D214" s="9">
        <v>0.68819444444444444</v>
      </c>
      <c r="F214" s="3" t="s">
        <v>148</v>
      </c>
      <c r="G214" s="3" t="s">
        <v>151</v>
      </c>
      <c r="H214">
        <v>8.4</v>
      </c>
    </row>
    <row r="215" spans="1:8" x14ac:dyDescent="0.25">
      <c r="A215" s="3" t="s">
        <v>5</v>
      </c>
      <c r="B215" s="8">
        <v>45864</v>
      </c>
      <c r="C215" s="9">
        <v>0.33680555555555558</v>
      </c>
      <c r="D215" s="9">
        <v>0.69027777777777777</v>
      </c>
      <c r="E215" s="3"/>
      <c r="F215" s="3" t="s">
        <v>139</v>
      </c>
      <c r="G215" s="3" t="s">
        <v>149</v>
      </c>
      <c r="H215" s="3">
        <v>8.5</v>
      </c>
    </row>
    <row r="216" spans="1:8" x14ac:dyDescent="0.25">
      <c r="A216" s="3" t="s">
        <v>6</v>
      </c>
      <c r="B216" s="8">
        <v>45864</v>
      </c>
      <c r="C216" s="9">
        <v>0.32569444444444445</v>
      </c>
      <c r="D216" s="9">
        <v>0.70277777777777772</v>
      </c>
      <c r="F216" s="3" t="s">
        <v>140</v>
      </c>
      <c r="G216" s="3" t="s">
        <v>150</v>
      </c>
      <c r="H216">
        <v>9</v>
      </c>
    </row>
    <row r="217" spans="1:8" x14ac:dyDescent="0.25">
      <c r="A217" s="3" t="s">
        <v>13</v>
      </c>
      <c r="B217" s="8">
        <v>45864</v>
      </c>
      <c r="C217" s="9">
        <v>0.32291666666666669</v>
      </c>
      <c r="D217" s="9">
        <v>0.71944444444444444</v>
      </c>
      <c r="F217" s="3" t="s">
        <v>141</v>
      </c>
      <c r="G217" s="3" t="s">
        <v>151</v>
      </c>
      <c r="H217">
        <v>9.5</v>
      </c>
    </row>
    <row r="218" spans="1:8" x14ac:dyDescent="0.25">
      <c r="A218" s="3" t="s">
        <v>7</v>
      </c>
      <c r="B218" s="8">
        <v>45864</v>
      </c>
      <c r="C218" s="9">
        <v>0.34236111111111112</v>
      </c>
      <c r="D218" s="9">
        <v>0.6875</v>
      </c>
      <c r="F218" s="3" t="s">
        <v>142</v>
      </c>
      <c r="G218" s="3" t="s">
        <v>151</v>
      </c>
      <c r="H218">
        <v>8.3000000000000007</v>
      </c>
    </row>
    <row r="219" spans="1:8" x14ac:dyDescent="0.25">
      <c r="A219" s="3" t="s">
        <v>8</v>
      </c>
      <c r="B219" s="8">
        <v>45864</v>
      </c>
      <c r="C219" s="9">
        <v>0.33055555555555555</v>
      </c>
      <c r="D219" s="9">
        <v>0.71805555555555556</v>
      </c>
      <c r="F219" s="3" t="s">
        <v>143</v>
      </c>
      <c r="G219" s="3" t="s">
        <v>149</v>
      </c>
      <c r="H219">
        <v>9.3000000000000007</v>
      </c>
    </row>
    <row r="220" spans="1:8" x14ac:dyDescent="0.25">
      <c r="A220" s="3" t="s">
        <v>9</v>
      </c>
      <c r="B220" s="8">
        <v>45864</v>
      </c>
      <c r="C220" s="9">
        <v>0.33750000000000002</v>
      </c>
      <c r="D220" s="9">
        <v>0.69305555555555554</v>
      </c>
      <c r="F220" s="3" t="s">
        <v>144</v>
      </c>
      <c r="G220" s="3" t="s">
        <v>149</v>
      </c>
      <c r="H220">
        <v>8.5</v>
      </c>
    </row>
    <row r="221" spans="1:8" x14ac:dyDescent="0.25">
      <c r="A221" s="3" t="s">
        <v>10</v>
      </c>
      <c r="B221" s="8">
        <v>45864</v>
      </c>
      <c r="C221" s="9">
        <v>0.32569444444444445</v>
      </c>
      <c r="D221" s="9">
        <v>0.68958333333333333</v>
      </c>
      <c r="F221" s="3" t="s">
        <v>145</v>
      </c>
      <c r="G221" s="3" t="s">
        <v>149</v>
      </c>
      <c r="H221">
        <v>8.6999999999999993</v>
      </c>
    </row>
    <row r="222" spans="1:8" x14ac:dyDescent="0.25">
      <c r="A222" s="3" t="s">
        <v>14</v>
      </c>
      <c r="B222" s="8">
        <v>45864</v>
      </c>
      <c r="C222" s="9">
        <v>0.33263888888888887</v>
      </c>
      <c r="D222" s="9">
        <v>0.69027777777777777</v>
      </c>
      <c r="F222" s="3" t="s">
        <v>146</v>
      </c>
      <c r="G222" s="3" t="s">
        <v>150</v>
      </c>
      <c r="H222">
        <v>8.6</v>
      </c>
    </row>
    <row r="223" spans="1:8" x14ac:dyDescent="0.25">
      <c r="A223" s="3" t="s">
        <v>11</v>
      </c>
      <c r="B223" s="8">
        <v>45864</v>
      </c>
      <c r="C223" s="9">
        <v>0.32569444444444445</v>
      </c>
      <c r="D223" s="9">
        <v>0.69305555555555554</v>
      </c>
      <c r="F223" s="3" t="s">
        <v>147</v>
      </c>
      <c r="G223" s="3" t="s">
        <v>149</v>
      </c>
      <c r="H223">
        <v>8.8000000000000007</v>
      </c>
    </row>
    <row r="224" spans="1:8" x14ac:dyDescent="0.25">
      <c r="A224" s="3" t="s">
        <v>12</v>
      </c>
      <c r="B224" s="8">
        <v>45864</v>
      </c>
      <c r="C224" s="9">
        <v>0.32430555555555557</v>
      </c>
      <c r="D224" s="9">
        <v>0.68958333333333333</v>
      </c>
      <c r="F224" s="3" t="s">
        <v>148</v>
      </c>
      <c r="G224" s="3" t="s">
        <v>151</v>
      </c>
      <c r="H224">
        <v>8.8000000000000007</v>
      </c>
    </row>
    <row r="225" spans="1:8" x14ac:dyDescent="0.25">
      <c r="A225" s="3" t="s">
        <v>5</v>
      </c>
      <c r="B225" s="8">
        <v>45865</v>
      </c>
      <c r="C225" s="9">
        <v>0.33750000000000002</v>
      </c>
      <c r="D225" s="9">
        <v>0.71458333333333335</v>
      </c>
      <c r="E225" s="3"/>
      <c r="F225" s="3" t="s">
        <v>139</v>
      </c>
      <c r="G225" s="3" t="s">
        <v>149</v>
      </c>
      <c r="H225" s="3">
        <v>9</v>
      </c>
    </row>
    <row r="226" spans="1:8" x14ac:dyDescent="0.25">
      <c r="A226" s="3" t="s">
        <v>13</v>
      </c>
      <c r="B226" s="8">
        <v>45865</v>
      </c>
      <c r="C226" s="9">
        <v>0.32777777777777778</v>
      </c>
      <c r="D226" s="9">
        <v>0.72222222222222221</v>
      </c>
      <c r="F226" s="3" t="s">
        <v>141</v>
      </c>
      <c r="G226" s="3" t="s">
        <v>151</v>
      </c>
      <c r="H226">
        <v>9.5</v>
      </c>
    </row>
    <row r="227" spans="1:8" x14ac:dyDescent="0.25">
      <c r="A227" s="3" t="s">
        <v>7</v>
      </c>
      <c r="B227" s="8">
        <v>45865</v>
      </c>
      <c r="C227" s="9">
        <v>0.34166666666666667</v>
      </c>
      <c r="D227" s="9">
        <v>0.70416666666666672</v>
      </c>
      <c r="F227" s="3" t="s">
        <v>142</v>
      </c>
      <c r="G227" s="3" t="s">
        <v>151</v>
      </c>
      <c r="H227">
        <v>8.6999999999999993</v>
      </c>
    </row>
    <row r="228" spans="1:8" x14ac:dyDescent="0.25">
      <c r="A228" s="3" t="s">
        <v>8</v>
      </c>
      <c r="B228" s="8">
        <v>45865</v>
      </c>
      <c r="C228" s="9">
        <v>0.33194444444444443</v>
      </c>
      <c r="D228" s="9">
        <v>0.72361111111111109</v>
      </c>
      <c r="F228" s="3" t="s">
        <v>143</v>
      </c>
      <c r="G228" s="3" t="s">
        <v>149</v>
      </c>
      <c r="H228">
        <v>9.4</v>
      </c>
    </row>
    <row r="229" spans="1:8" x14ac:dyDescent="0.25">
      <c r="A229" s="3" t="s">
        <v>10</v>
      </c>
      <c r="B229" s="8">
        <v>45865</v>
      </c>
      <c r="C229" s="9">
        <v>0.34166666666666667</v>
      </c>
      <c r="D229" s="9">
        <v>0.72430555555555554</v>
      </c>
      <c r="F229" s="3" t="s">
        <v>145</v>
      </c>
      <c r="G229" s="3" t="s">
        <v>149</v>
      </c>
      <c r="H229">
        <v>9.1999999999999993</v>
      </c>
    </row>
    <row r="230" spans="1:8" x14ac:dyDescent="0.25">
      <c r="A230" s="3" t="s">
        <v>14</v>
      </c>
      <c r="B230" s="8">
        <v>45865</v>
      </c>
      <c r="C230" s="9">
        <v>0.33888888888888891</v>
      </c>
      <c r="D230" s="9">
        <v>0.69930555555555551</v>
      </c>
      <c r="F230" s="3" t="s">
        <v>146</v>
      </c>
      <c r="G230" s="3" t="s">
        <v>150</v>
      </c>
      <c r="H230">
        <v>8.6</v>
      </c>
    </row>
    <row r="231" spans="1:8" x14ac:dyDescent="0.25">
      <c r="A231" s="3" t="s">
        <v>11</v>
      </c>
      <c r="B231" s="8">
        <v>45865</v>
      </c>
      <c r="C231" s="9">
        <v>0.32777777777777778</v>
      </c>
      <c r="D231" s="9">
        <v>0.71458333333333335</v>
      </c>
      <c r="F231" s="3" t="s">
        <v>147</v>
      </c>
      <c r="G231" s="3" t="s">
        <v>149</v>
      </c>
      <c r="H231">
        <v>9.3000000000000007</v>
      </c>
    </row>
    <row r="232" spans="1:8" x14ac:dyDescent="0.25">
      <c r="A232" s="3" t="s">
        <v>12</v>
      </c>
      <c r="B232" s="8">
        <v>45865</v>
      </c>
      <c r="C232" s="9">
        <v>0.33819444444444446</v>
      </c>
      <c r="D232" s="9">
        <v>0.69236111111111109</v>
      </c>
      <c r="F232" s="3" t="s">
        <v>148</v>
      </c>
      <c r="G232" s="3" t="s">
        <v>151</v>
      </c>
      <c r="H232">
        <v>8.5</v>
      </c>
    </row>
    <row r="233" spans="1:8" x14ac:dyDescent="0.25">
      <c r="A233" s="3" t="s">
        <v>5</v>
      </c>
      <c r="B233" s="8">
        <v>45866</v>
      </c>
      <c r="C233" s="9">
        <v>0.32361111111111113</v>
      </c>
      <c r="D233" s="9">
        <v>0.69097222222222221</v>
      </c>
      <c r="E233" s="3"/>
      <c r="F233" s="3" t="s">
        <v>139</v>
      </c>
      <c r="G233" s="3" t="s">
        <v>149</v>
      </c>
      <c r="H233" s="3">
        <v>8.8000000000000007</v>
      </c>
    </row>
    <row r="234" spans="1:8" x14ac:dyDescent="0.25">
      <c r="A234" s="3" t="s">
        <v>6</v>
      </c>
      <c r="B234" s="8">
        <v>45866</v>
      </c>
      <c r="C234" s="9">
        <v>0.33888888888888891</v>
      </c>
      <c r="D234" s="9">
        <v>0.71180555555555558</v>
      </c>
      <c r="F234" s="3" t="s">
        <v>140</v>
      </c>
      <c r="G234" s="3" t="s">
        <v>150</v>
      </c>
      <c r="H234">
        <v>9</v>
      </c>
    </row>
    <row r="235" spans="1:8" x14ac:dyDescent="0.25">
      <c r="A235" s="3" t="s">
        <v>13</v>
      </c>
      <c r="B235" s="8">
        <v>45866</v>
      </c>
      <c r="C235" s="9">
        <v>0.32916666666666666</v>
      </c>
      <c r="D235" s="9">
        <v>0.69652777777777775</v>
      </c>
      <c r="F235" s="3" t="s">
        <v>141</v>
      </c>
      <c r="G235" s="3" t="s">
        <v>151</v>
      </c>
      <c r="H235">
        <v>8.8000000000000007</v>
      </c>
    </row>
    <row r="236" spans="1:8" x14ac:dyDescent="0.25">
      <c r="A236" s="3" t="s">
        <v>7</v>
      </c>
      <c r="B236" s="8">
        <v>45866</v>
      </c>
      <c r="C236" s="9">
        <v>0.3347222222222222</v>
      </c>
      <c r="D236" s="9">
        <v>0.69097222222222221</v>
      </c>
      <c r="F236" s="3" t="s">
        <v>142</v>
      </c>
      <c r="G236" s="3" t="s">
        <v>151</v>
      </c>
      <c r="H236">
        <v>8.6</v>
      </c>
    </row>
    <row r="237" spans="1:8" x14ac:dyDescent="0.25">
      <c r="A237" s="3" t="s">
        <v>8</v>
      </c>
      <c r="B237" s="8">
        <v>45866</v>
      </c>
      <c r="C237" s="9">
        <v>0.33124999999999999</v>
      </c>
      <c r="D237" s="9">
        <v>0.71319444444444446</v>
      </c>
      <c r="F237" s="3" t="s">
        <v>143</v>
      </c>
      <c r="G237" s="3" t="s">
        <v>149</v>
      </c>
      <c r="H237">
        <v>9.1999999999999993</v>
      </c>
    </row>
    <row r="238" spans="1:8" x14ac:dyDescent="0.25">
      <c r="A238" s="3" t="s">
        <v>9</v>
      </c>
      <c r="B238" s="8">
        <v>45866</v>
      </c>
      <c r="C238" s="9">
        <v>0.32847222222222222</v>
      </c>
      <c r="D238" s="9">
        <v>0.71527777777777779</v>
      </c>
      <c r="F238" s="3" t="s">
        <v>144</v>
      </c>
      <c r="G238" s="3" t="s">
        <v>149</v>
      </c>
      <c r="H238">
        <v>9.3000000000000007</v>
      </c>
    </row>
    <row r="239" spans="1:8" x14ac:dyDescent="0.25">
      <c r="A239" s="3" t="s">
        <v>10</v>
      </c>
      <c r="B239" s="8">
        <v>45866</v>
      </c>
      <c r="C239" s="9">
        <v>0.32916666666666666</v>
      </c>
      <c r="D239" s="9">
        <v>0.7</v>
      </c>
      <c r="F239" s="3" t="s">
        <v>145</v>
      </c>
      <c r="G239" s="3" t="s">
        <v>149</v>
      </c>
      <c r="H239">
        <v>8.9</v>
      </c>
    </row>
    <row r="240" spans="1:8" x14ac:dyDescent="0.25">
      <c r="A240" s="3" t="s">
        <v>14</v>
      </c>
      <c r="B240" s="8">
        <v>45866</v>
      </c>
      <c r="C240" s="9">
        <v>0.32916666666666666</v>
      </c>
      <c r="D240" s="9">
        <v>0.70347222222222228</v>
      </c>
      <c r="F240" s="3" t="s">
        <v>146</v>
      </c>
      <c r="G240" s="3" t="s">
        <v>150</v>
      </c>
      <c r="H240">
        <v>9</v>
      </c>
    </row>
    <row r="241" spans="1:8" x14ac:dyDescent="0.25">
      <c r="A241" s="3" t="s">
        <v>12</v>
      </c>
      <c r="B241" s="8">
        <v>45866</v>
      </c>
      <c r="C241" s="9">
        <v>0.34236111111111112</v>
      </c>
      <c r="D241" s="9">
        <v>0.72013888888888888</v>
      </c>
      <c r="F241" s="3" t="s">
        <v>148</v>
      </c>
      <c r="G241" s="3" t="s">
        <v>151</v>
      </c>
      <c r="H241">
        <v>9.1</v>
      </c>
    </row>
    <row r="242" spans="1:8" x14ac:dyDescent="0.25">
      <c r="A242" s="3" t="s">
        <v>5</v>
      </c>
      <c r="B242" s="8">
        <v>45867</v>
      </c>
      <c r="C242" s="9">
        <v>0.32500000000000001</v>
      </c>
      <c r="D242" s="9">
        <v>0.71597222222222223</v>
      </c>
      <c r="E242" s="3"/>
      <c r="F242" s="3" t="s">
        <v>139</v>
      </c>
      <c r="G242" s="3" t="s">
        <v>149</v>
      </c>
      <c r="H242" s="3">
        <v>9.4</v>
      </c>
    </row>
    <row r="243" spans="1:8" x14ac:dyDescent="0.25">
      <c r="A243" s="3" t="s">
        <v>6</v>
      </c>
      <c r="B243" s="8">
        <v>45867</v>
      </c>
      <c r="C243" s="9">
        <v>0.33055555555555555</v>
      </c>
      <c r="D243" s="9">
        <v>0.70277777777777772</v>
      </c>
      <c r="F243" s="3" t="s">
        <v>140</v>
      </c>
      <c r="G243" s="3" t="s">
        <v>150</v>
      </c>
      <c r="H243">
        <v>8.9</v>
      </c>
    </row>
    <row r="244" spans="1:8" x14ac:dyDescent="0.25">
      <c r="A244" s="3" t="s">
        <v>13</v>
      </c>
      <c r="B244" s="8">
        <v>45867</v>
      </c>
      <c r="C244" s="9">
        <v>0.33750000000000002</v>
      </c>
      <c r="D244" s="9">
        <v>0.69374999999999998</v>
      </c>
      <c r="F244" s="3" t="s">
        <v>141</v>
      </c>
      <c r="G244" s="3" t="s">
        <v>151</v>
      </c>
      <c r="H244">
        <v>8.6</v>
      </c>
    </row>
    <row r="245" spans="1:8" x14ac:dyDescent="0.25">
      <c r="A245" s="3" t="s">
        <v>7</v>
      </c>
      <c r="B245" s="8">
        <v>45867</v>
      </c>
      <c r="C245" s="9">
        <v>0.32500000000000001</v>
      </c>
      <c r="D245" s="9">
        <v>0.7270833333333333</v>
      </c>
      <c r="F245" s="3" t="s">
        <v>142</v>
      </c>
      <c r="G245" s="3" t="s">
        <v>151</v>
      </c>
      <c r="H245">
        <v>9.6</v>
      </c>
    </row>
    <row r="246" spans="1:8" x14ac:dyDescent="0.25">
      <c r="A246" s="3" t="s">
        <v>9</v>
      </c>
      <c r="B246" s="8">
        <v>45867</v>
      </c>
      <c r="C246" s="9">
        <v>0.33680555555555558</v>
      </c>
      <c r="D246" s="9">
        <v>0.72499999999999998</v>
      </c>
      <c r="F246" s="3" t="s">
        <v>144</v>
      </c>
      <c r="G246" s="3" t="s">
        <v>149</v>
      </c>
      <c r="H246">
        <v>9.3000000000000007</v>
      </c>
    </row>
    <row r="247" spans="1:8" x14ac:dyDescent="0.25">
      <c r="A247" s="3" t="s">
        <v>10</v>
      </c>
      <c r="B247" s="8">
        <v>45867</v>
      </c>
      <c r="C247" s="9">
        <v>0.32430555555555557</v>
      </c>
      <c r="D247" s="9">
        <v>0.7</v>
      </c>
      <c r="F247" s="3" t="s">
        <v>145</v>
      </c>
      <c r="G247" s="3" t="s">
        <v>149</v>
      </c>
      <c r="H247">
        <v>9</v>
      </c>
    </row>
    <row r="248" spans="1:8" x14ac:dyDescent="0.25">
      <c r="A248" s="3" t="s">
        <v>14</v>
      </c>
      <c r="B248" s="8">
        <v>45867</v>
      </c>
      <c r="C248" s="9">
        <v>0.32569444444444445</v>
      </c>
      <c r="D248" s="9">
        <v>0.69305555555555554</v>
      </c>
      <c r="F248" s="3" t="s">
        <v>146</v>
      </c>
      <c r="G248" s="3" t="s">
        <v>150</v>
      </c>
      <c r="H248">
        <v>8.8000000000000007</v>
      </c>
    </row>
    <row r="249" spans="1:8" x14ac:dyDescent="0.25">
      <c r="A249" s="3" t="s">
        <v>11</v>
      </c>
      <c r="B249" s="8">
        <v>45867</v>
      </c>
      <c r="C249" s="9">
        <v>0.34097222222222223</v>
      </c>
      <c r="D249" s="9">
        <v>0.70208333333333328</v>
      </c>
      <c r="F249" s="3" t="s">
        <v>147</v>
      </c>
      <c r="G249" s="3" t="s">
        <v>149</v>
      </c>
      <c r="H249">
        <v>8.6999999999999993</v>
      </c>
    </row>
    <row r="250" spans="1:8" x14ac:dyDescent="0.25">
      <c r="A250" s="3" t="s">
        <v>12</v>
      </c>
      <c r="B250" s="8">
        <v>45867</v>
      </c>
      <c r="C250" s="9">
        <v>0.3347222222222222</v>
      </c>
      <c r="D250" s="9">
        <v>0.72291666666666665</v>
      </c>
      <c r="F250" s="3" t="s">
        <v>148</v>
      </c>
      <c r="G250" s="3" t="s">
        <v>151</v>
      </c>
      <c r="H250">
        <v>9.3000000000000007</v>
      </c>
    </row>
    <row r="251" spans="1:8" x14ac:dyDescent="0.25">
      <c r="A251" s="3" t="s">
        <v>5</v>
      </c>
      <c r="B251" s="8">
        <v>45868</v>
      </c>
      <c r="C251" s="9">
        <v>0.32430555555555557</v>
      </c>
      <c r="D251" s="9">
        <v>0.71458333333333335</v>
      </c>
      <c r="E251" s="3"/>
      <c r="F251" s="3" t="s">
        <v>139</v>
      </c>
      <c r="G251" s="3" t="s">
        <v>149</v>
      </c>
      <c r="H251" s="3">
        <v>9.4</v>
      </c>
    </row>
    <row r="252" spans="1:8" x14ac:dyDescent="0.25">
      <c r="A252" s="3" t="s">
        <v>6</v>
      </c>
      <c r="B252" s="8">
        <v>45868</v>
      </c>
      <c r="C252" s="9">
        <v>0.3298611111111111</v>
      </c>
      <c r="D252" s="9">
        <v>0.69166666666666665</v>
      </c>
      <c r="F252" s="3" t="s">
        <v>140</v>
      </c>
      <c r="G252" s="3" t="s">
        <v>150</v>
      </c>
      <c r="H252">
        <v>8.6999999999999993</v>
      </c>
    </row>
    <row r="253" spans="1:8" x14ac:dyDescent="0.25">
      <c r="A253" s="3" t="s">
        <v>13</v>
      </c>
      <c r="B253" s="8">
        <v>45868</v>
      </c>
      <c r="C253" s="9">
        <v>0.34166666666666667</v>
      </c>
      <c r="D253" s="9">
        <v>0.70972222222222225</v>
      </c>
      <c r="F253" s="3" t="s">
        <v>141</v>
      </c>
      <c r="G253" s="3" t="s">
        <v>151</v>
      </c>
      <c r="H253">
        <v>8.8000000000000007</v>
      </c>
    </row>
    <row r="254" spans="1:8" x14ac:dyDescent="0.25">
      <c r="A254" s="3" t="s">
        <v>7</v>
      </c>
      <c r="B254" s="8">
        <v>45868</v>
      </c>
      <c r="C254" s="9">
        <v>0.34236111111111112</v>
      </c>
      <c r="D254" s="9">
        <v>0.71666666666666667</v>
      </c>
      <c r="F254" s="3" t="s">
        <v>142</v>
      </c>
      <c r="G254" s="3" t="s">
        <v>151</v>
      </c>
      <c r="H254">
        <v>9</v>
      </c>
    </row>
    <row r="255" spans="1:8" x14ac:dyDescent="0.25">
      <c r="A255" s="3" t="s">
        <v>8</v>
      </c>
      <c r="B255" s="8">
        <v>45868</v>
      </c>
      <c r="C255" s="9">
        <v>0.34097222222222223</v>
      </c>
      <c r="D255" s="9">
        <v>0.72013888888888888</v>
      </c>
      <c r="F255" s="3" t="s">
        <v>143</v>
      </c>
      <c r="G255" s="3" t="s">
        <v>149</v>
      </c>
      <c r="H255">
        <v>9.1</v>
      </c>
    </row>
    <row r="256" spans="1:8" x14ac:dyDescent="0.25">
      <c r="A256" s="3" t="s">
        <v>9</v>
      </c>
      <c r="B256" s="8">
        <v>45868</v>
      </c>
      <c r="C256" s="9">
        <v>0.33611111111111114</v>
      </c>
      <c r="D256" s="9">
        <v>0.71111111111111114</v>
      </c>
      <c r="F256" s="3" t="s">
        <v>144</v>
      </c>
      <c r="G256" s="3" t="s">
        <v>149</v>
      </c>
      <c r="H256">
        <v>9</v>
      </c>
    </row>
    <row r="257" spans="1:8" x14ac:dyDescent="0.25">
      <c r="A257" s="3" t="s">
        <v>10</v>
      </c>
      <c r="B257" s="8">
        <v>45868</v>
      </c>
      <c r="C257" s="9">
        <v>0.33055555555555555</v>
      </c>
      <c r="D257" s="9">
        <v>0.69444444444444442</v>
      </c>
      <c r="F257" s="3" t="s">
        <v>145</v>
      </c>
      <c r="G257" s="3" t="s">
        <v>149</v>
      </c>
      <c r="H257">
        <v>8.6999999999999993</v>
      </c>
    </row>
    <row r="258" spans="1:8" x14ac:dyDescent="0.25">
      <c r="A258" s="3" t="s">
        <v>14</v>
      </c>
      <c r="B258" s="8">
        <v>45868</v>
      </c>
      <c r="C258" s="9">
        <v>0.34375</v>
      </c>
      <c r="D258" s="9">
        <v>0.68819444444444444</v>
      </c>
      <c r="F258" s="3" t="s">
        <v>146</v>
      </c>
      <c r="G258" s="3" t="s">
        <v>150</v>
      </c>
      <c r="H258">
        <v>8.3000000000000007</v>
      </c>
    </row>
    <row r="259" spans="1:8" x14ac:dyDescent="0.25">
      <c r="A259" s="3" t="s">
        <v>11</v>
      </c>
      <c r="B259" s="8">
        <v>45868</v>
      </c>
      <c r="C259" s="9">
        <v>0.33819444444444446</v>
      </c>
      <c r="D259" s="9">
        <v>0.72291666666666665</v>
      </c>
      <c r="F259" s="3" t="s">
        <v>147</v>
      </c>
      <c r="G259" s="3" t="s">
        <v>149</v>
      </c>
      <c r="H259">
        <v>9.1999999999999993</v>
      </c>
    </row>
    <row r="260" spans="1:8" x14ac:dyDescent="0.25">
      <c r="A260" s="3" t="s">
        <v>12</v>
      </c>
      <c r="B260" s="8">
        <v>45868</v>
      </c>
      <c r="C260" s="9">
        <v>0.33958333333333335</v>
      </c>
      <c r="D260" s="9">
        <v>0.69861111111111107</v>
      </c>
      <c r="F260" s="3" t="s">
        <v>148</v>
      </c>
      <c r="G260" s="3" t="s">
        <v>151</v>
      </c>
      <c r="H260">
        <v>8.6</v>
      </c>
    </row>
    <row r="261" spans="1:8" x14ac:dyDescent="0.25">
      <c r="A261" s="3" t="s">
        <v>5</v>
      </c>
      <c r="B261" s="8">
        <v>45869</v>
      </c>
      <c r="C261" s="9">
        <v>0.33958333333333335</v>
      </c>
      <c r="D261" s="9">
        <v>0.71527777777777779</v>
      </c>
      <c r="E261" s="3"/>
      <c r="F261" s="3" t="s">
        <v>139</v>
      </c>
      <c r="G261" s="3" t="s">
        <v>149</v>
      </c>
      <c r="H261" s="3">
        <v>9</v>
      </c>
    </row>
    <row r="262" spans="1:8" x14ac:dyDescent="0.25">
      <c r="A262" s="3" t="s">
        <v>6</v>
      </c>
      <c r="B262" s="8">
        <v>45869</v>
      </c>
      <c r="C262" s="9">
        <v>0.33819444444444446</v>
      </c>
      <c r="D262" s="9">
        <v>0.7006944444444444</v>
      </c>
      <c r="F262" s="3" t="s">
        <v>140</v>
      </c>
      <c r="G262" s="3" t="s">
        <v>150</v>
      </c>
      <c r="H262">
        <v>8.6999999999999993</v>
      </c>
    </row>
    <row r="263" spans="1:8" x14ac:dyDescent="0.25">
      <c r="A263" s="3" t="s">
        <v>13</v>
      </c>
      <c r="B263" s="8">
        <v>45869</v>
      </c>
      <c r="C263" s="9">
        <v>0.33888888888888891</v>
      </c>
      <c r="D263" s="9">
        <v>0.72916666666666663</v>
      </c>
      <c r="F263" s="3" t="s">
        <v>141</v>
      </c>
      <c r="G263" s="3" t="s">
        <v>151</v>
      </c>
      <c r="H263">
        <v>9.4</v>
      </c>
    </row>
    <row r="264" spans="1:8" x14ac:dyDescent="0.25">
      <c r="A264" s="3" t="s">
        <v>7</v>
      </c>
      <c r="B264" s="8">
        <v>45869</v>
      </c>
      <c r="C264" s="9">
        <v>0.32500000000000001</v>
      </c>
      <c r="D264" s="9">
        <v>0.72638888888888886</v>
      </c>
      <c r="F264" s="3" t="s">
        <v>142</v>
      </c>
      <c r="G264" s="3" t="s">
        <v>151</v>
      </c>
      <c r="H264">
        <v>9.6</v>
      </c>
    </row>
    <row r="265" spans="1:8" x14ac:dyDescent="0.25">
      <c r="A265" s="3" t="s">
        <v>8</v>
      </c>
      <c r="B265" s="8">
        <v>45869</v>
      </c>
      <c r="C265" s="9">
        <v>0.32291666666666669</v>
      </c>
      <c r="D265" s="9">
        <v>0.71180555555555558</v>
      </c>
      <c r="F265" s="3" t="s">
        <v>143</v>
      </c>
      <c r="G265" s="3" t="s">
        <v>149</v>
      </c>
      <c r="H265">
        <v>9.3000000000000007</v>
      </c>
    </row>
    <row r="266" spans="1:8" x14ac:dyDescent="0.25">
      <c r="A266" s="3" t="s">
        <v>9</v>
      </c>
      <c r="B266" s="8">
        <v>45869</v>
      </c>
      <c r="C266" s="9">
        <v>0.34166666666666667</v>
      </c>
      <c r="D266" s="9">
        <v>0.72361111111111109</v>
      </c>
      <c r="F266" s="3" t="s">
        <v>144</v>
      </c>
      <c r="G266" s="3" t="s">
        <v>149</v>
      </c>
      <c r="H266">
        <v>9.1999999999999993</v>
      </c>
    </row>
    <row r="267" spans="1:8" x14ac:dyDescent="0.25">
      <c r="A267" s="3" t="s">
        <v>10</v>
      </c>
      <c r="B267" s="8">
        <v>45869</v>
      </c>
      <c r="C267" s="9">
        <v>0.33194444444444443</v>
      </c>
      <c r="D267" s="9">
        <v>0.72777777777777775</v>
      </c>
      <c r="F267" s="3" t="s">
        <v>145</v>
      </c>
      <c r="G267" s="3" t="s">
        <v>149</v>
      </c>
      <c r="H267">
        <v>9.5</v>
      </c>
    </row>
    <row r="268" spans="1:8" x14ac:dyDescent="0.25">
      <c r="A268" s="3" t="s">
        <v>14</v>
      </c>
      <c r="B268" s="8">
        <v>45869</v>
      </c>
      <c r="C268" s="9">
        <v>0.34236111111111112</v>
      </c>
      <c r="D268" s="9">
        <v>0.70902777777777781</v>
      </c>
      <c r="F268" s="3" t="s">
        <v>146</v>
      </c>
      <c r="G268" s="3" t="s">
        <v>150</v>
      </c>
      <c r="H268">
        <v>8.8000000000000007</v>
      </c>
    </row>
    <row r="269" spans="1:8" x14ac:dyDescent="0.25">
      <c r="A269" s="3" t="s">
        <v>11</v>
      </c>
      <c r="B269" s="8">
        <v>45869</v>
      </c>
      <c r="C269" s="9">
        <v>0.33958333333333335</v>
      </c>
      <c r="D269" s="9">
        <v>0.68888888888888888</v>
      </c>
      <c r="F269" s="3" t="s">
        <v>147</v>
      </c>
      <c r="G269" s="3" t="s">
        <v>149</v>
      </c>
      <c r="H269">
        <v>8.4</v>
      </c>
    </row>
    <row r="270" spans="1:8" x14ac:dyDescent="0.25">
      <c r="A270" s="3" t="s">
        <v>12</v>
      </c>
      <c r="B270" s="8">
        <v>45869</v>
      </c>
      <c r="C270" s="9">
        <v>0.32916666666666666</v>
      </c>
      <c r="D270" s="9">
        <v>0.72013888888888888</v>
      </c>
      <c r="F270" s="3" t="s">
        <v>148</v>
      </c>
      <c r="G270" s="3" t="s">
        <v>151</v>
      </c>
      <c r="H270">
        <v>9.4</v>
      </c>
    </row>
    <row r="271" spans="1:8" x14ac:dyDescent="0.25">
      <c r="F271" s="3"/>
      <c r="G271" s="3"/>
    </row>
    <row r="272" spans="1:8" x14ac:dyDescent="0.25">
      <c r="F272" s="3"/>
      <c r="G272" s="3"/>
    </row>
    <row r="273" spans="6:7" x14ac:dyDescent="0.25">
      <c r="F273" s="3"/>
      <c r="G273" s="3"/>
    </row>
    <row r="274" spans="6:7" x14ac:dyDescent="0.25">
      <c r="F274" s="3"/>
      <c r="G274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C0BBB-F3EB-4CDE-BC3F-409532B26923}">
  <sheetPr codeName="Sheet3"/>
  <dimension ref="A1:C8"/>
  <sheetViews>
    <sheetView workbookViewId="0">
      <selection activeCell="G13" sqref="G13"/>
    </sheetView>
  </sheetViews>
  <sheetFormatPr defaultRowHeight="15" x14ac:dyDescent="0.25"/>
  <cols>
    <col min="2" max="2" width="15.28515625" customWidth="1"/>
    <col min="3" max="3" width="18.28515625" customWidth="1"/>
  </cols>
  <sheetData>
    <row r="1" spans="1:3" x14ac:dyDescent="0.25">
      <c r="A1" s="10" t="s">
        <v>0</v>
      </c>
      <c r="B1" s="10" t="s">
        <v>137</v>
      </c>
      <c r="C1" s="10" t="s">
        <v>138</v>
      </c>
    </row>
    <row r="2" spans="1:3" x14ac:dyDescent="0.25">
      <c r="A2" t="s">
        <v>156</v>
      </c>
      <c r="B2" t="s">
        <v>164</v>
      </c>
      <c r="C2" t="s">
        <v>170</v>
      </c>
    </row>
    <row r="3" spans="1:3" x14ac:dyDescent="0.25">
      <c r="A3" t="s">
        <v>157</v>
      </c>
      <c r="B3" t="s">
        <v>166</v>
      </c>
      <c r="C3" t="s">
        <v>171</v>
      </c>
    </row>
    <row r="4" spans="1:3" x14ac:dyDescent="0.25">
      <c r="A4" t="s">
        <v>158</v>
      </c>
      <c r="B4" t="s">
        <v>167</v>
      </c>
      <c r="C4" t="s">
        <v>172</v>
      </c>
    </row>
    <row r="5" spans="1:3" x14ac:dyDescent="0.25">
      <c r="A5" t="s">
        <v>159</v>
      </c>
      <c r="B5" t="s">
        <v>163</v>
      </c>
      <c r="C5" t="s">
        <v>173</v>
      </c>
    </row>
    <row r="6" spans="1:3" x14ac:dyDescent="0.25">
      <c r="A6" t="s">
        <v>160</v>
      </c>
      <c r="B6" t="s">
        <v>165</v>
      </c>
      <c r="C6" t="s">
        <v>174</v>
      </c>
    </row>
    <row r="7" spans="1:3" x14ac:dyDescent="0.25">
      <c r="A7" t="s">
        <v>161</v>
      </c>
      <c r="B7" t="s">
        <v>168</v>
      </c>
      <c r="C7" t="s">
        <v>175</v>
      </c>
    </row>
    <row r="8" spans="1:3" x14ac:dyDescent="0.25">
      <c r="A8" t="s">
        <v>162</v>
      </c>
      <c r="B8" t="s">
        <v>169</v>
      </c>
      <c r="C8" t="s">
        <v>176</v>
      </c>
    </row>
  </sheetData>
  <phoneticPr fontId="2" type="noConversion"/>
  <dataValidations count="3">
    <dataValidation type="textLength" allowBlank="1" showInputMessage="1" showErrorMessage="1" errorTitle="Input NIP Pegawai" error="Tolong Input NIP Pegawai sesuai Database" promptTitle="Input NIP Pegawai" prompt="Input NIP Pegawai" sqref="A1:A1048576" xr:uid="{29B90861-764C-490B-BC0B-BC6CFA9FAEDF}">
      <formula1>0</formula1>
      <formula2>6</formula2>
    </dataValidation>
    <dataValidation allowBlank="1" showInputMessage="1" showErrorMessage="1" errorTitle="Input nama pegawai" error="Input nama pegawai sesuai database" promptTitle="Input nama pegawai" prompt="Input nama pegawai sesuai database" sqref="B1:B1048576" xr:uid="{4C7D64B6-F17A-4232-B6C8-4131BA0F9CEB}"/>
    <dataValidation allowBlank="1" showInputMessage="1" showErrorMessage="1" errorTitle="Input Jabatan Pegawai" error="Input Jabatan Pegawai sesuai database" promptTitle="Input Jabatan Pegawai" prompt="Input Jabatan Pegawai sesuai database" sqref="C1:C1048576" xr:uid="{BB1766B4-F935-45E8-9C18-CE618CD314E0}"/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52"/>
  <sheetViews>
    <sheetView tabSelected="1" workbookViewId="0">
      <selection activeCell="G21" sqref="G21"/>
    </sheetView>
  </sheetViews>
  <sheetFormatPr defaultRowHeight="15" x14ac:dyDescent="0.25"/>
  <cols>
    <col min="1" max="1" width="10.140625" customWidth="1"/>
    <col min="2" max="2" width="14.28515625" style="2" customWidth="1"/>
    <col min="3" max="3" width="19.140625" style="4" customWidth="1"/>
    <col min="4" max="4" width="16.7109375" style="4" customWidth="1"/>
    <col min="5" max="5" width="11.7109375" customWidth="1"/>
    <col min="6" max="6" width="17" customWidth="1"/>
    <col min="7" max="7" width="21.42578125" customWidth="1"/>
  </cols>
  <sheetData>
    <row r="1" spans="1:7" x14ac:dyDescent="0.25">
      <c r="A1" t="s">
        <v>0</v>
      </c>
      <c r="B1" s="2" t="s">
        <v>1</v>
      </c>
      <c r="C1" s="4" t="s">
        <v>2</v>
      </c>
      <c r="D1" s="4" t="s">
        <v>3</v>
      </c>
      <c r="E1" t="s">
        <v>4</v>
      </c>
      <c r="F1" t="s">
        <v>152</v>
      </c>
      <c r="G1" t="s">
        <v>138</v>
      </c>
    </row>
    <row r="2" spans="1:7" x14ac:dyDescent="0.25">
      <c r="A2" t="s">
        <v>156</v>
      </c>
      <c r="B2" s="2">
        <v>45871</v>
      </c>
      <c r="C2" s="4">
        <v>0.37025439935367616</v>
      </c>
      <c r="D2" s="4">
        <v>0.70404896924183213</v>
      </c>
      <c r="F2" t="str">
        <f>INDEX('Database Pegawai'!B:B,MATCH($A2,'Database Pegawai'!$A:$A,0))</f>
        <v>Kobo Kanaeru</v>
      </c>
      <c r="G2" t="str">
        <f>INDEX('Database Pegawai'!C:C,MATCH($A2,'Database Pegawai'!$A:$A,0))</f>
        <v>Data Scientist</v>
      </c>
    </row>
    <row r="3" spans="1:7" x14ac:dyDescent="0.25">
      <c r="A3" t="s">
        <v>160</v>
      </c>
      <c r="B3" s="2">
        <v>45870</v>
      </c>
      <c r="C3" s="4">
        <v>0.33869240120987926</v>
      </c>
      <c r="D3" s="4">
        <v>0.69125764828705483</v>
      </c>
      <c r="F3" t="str">
        <f>INDEX('Database Pegawai'!B:B,MATCH($A3,'Database Pegawai'!$A:$A,0))</f>
        <v>Moona Hoshinova</v>
      </c>
      <c r="G3" t="str">
        <f>INDEX('Database Pegawai'!C:C,MATCH($A3,'Database Pegawai'!$A:$A,0))</f>
        <v>FE Engineer</v>
      </c>
    </row>
    <row r="4" spans="1:7" x14ac:dyDescent="0.25">
      <c r="A4" t="s">
        <v>159</v>
      </c>
      <c r="B4" s="2">
        <v>45889</v>
      </c>
      <c r="C4" s="4">
        <v>0.38500318142937595</v>
      </c>
      <c r="D4" s="4">
        <v>0.66315824821386204</v>
      </c>
      <c r="F4" t="str">
        <f>INDEX('Database Pegawai'!B:B,MATCH($A4,'Database Pegawai'!$A:$A,0))</f>
        <v>Ayunda Risu</v>
      </c>
      <c r="G4" t="str">
        <f>INDEX('Database Pegawai'!C:C,MATCH($A4,'Database Pegawai'!$A:$A,0))</f>
        <v>HR Manager</v>
      </c>
    </row>
    <row r="5" spans="1:7" x14ac:dyDescent="0.25">
      <c r="A5" t="s">
        <v>161</v>
      </c>
      <c r="B5" s="2">
        <v>45898</v>
      </c>
      <c r="C5" s="4">
        <v>0.39677087771548281</v>
      </c>
      <c r="D5" s="4">
        <v>0.60549424987598754</v>
      </c>
      <c r="F5" t="str">
        <f>INDEX('Database Pegawai'!B:B,MATCH($A5,'Database Pegawai'!$A:$A,0))</f>
        <v>Kureiji Ollie</v>
      </c>
      <c r="G5" t="str">
        <f>INDEX('Database Pegawai'!C:C,MATCH($A5,'Database Pegawai'!$A:$A,0))</f>
        <v>BE Engineer</v>
      </c>
    </row>
    <row r="6" spans="1:7" x14ac:dyDescent="0.25">
      <c r="A6" t="s">
        <v>158</v>
      </c>
      <c r="B6" s="2">
        <v>45891</v>
      </c>
      <c r="C6" s="4">
        <v>0.40834299188820233</v>
      </c>
      <c r="D6" s="4">
        <v>0.4840772092041552</v>
      </c>
      <c r="F6" t="str">
        <f>INDEX('Database Pegawai'!B:B,MATCH($A6,'Database Pegawai'!$A:$A,0))</f>
        <v>Kaela Kovalskia</v>
      </c>
      <c r="G6" t="str">
        <f>INDEX('Database Pegawai'!C:C,MATCH($A6,'Database Pegawai'!$A:$A,0))</f>
        <v>Data Engineer</v>
      </c>
    </row>
    <row r="7" spans="1:7" x14ac:dyDescent="0.25">
      <c r="A7" t="s">
        <v>157</v>
      </c>
      <c r="B7" s="2">
        <v>45872</v>
      </c>
      <c r="C7" s="4">
        <v>0.39516560448161731</v>
      </c>
      <c r="D7" s="4">
        <v>0.59842828373798873</v>
      </c>
      <c r="F7" t="str">
        <f>INDEX('Database Pegawai'!B:B,MATCH($A7,'Database Pegawai'!$A:$A,0))</f>
        <v>Vestia Zeta</v>
      </c>
      <c r="G7" t="str">
        <f>INDEX('Database Pegawai'!C:C,MATCH($A7,'Database Pegawai'!$A:$A,0))</f>
        <v>Cyber Security</v>
      </c>
    </row>
    <row r="8" spans="1:7" x14ac:dyDescent="0.25">
      <c r="A8" t="s">
        <v>161</v>
      </c>
      <c r="B8" s="2">
        <v>45894</v>
      </c>
      <c r="C8" s="4">
        <v>0.40130481985155309</v>
      </c>
      <c r="D8" s="4">
        <v>0.58020098427174238</v>
      </c>
      <c r="F8" t="str">
        <f>INDEX('Database Pegawai'!B:B,MATCH($A8,'Database Pegawai'!$A:$A,0))</f>
        <v>Kureiji Ollie</v>
      </c>
      <c r="G8" t="str">
        <f>INDEX('Database Pegawai'!C:C,MATCH($A8,'Database Pegawai'!$A:$A,0))</f>
        <v>BE Engineer</v>
      </c>
    </row>
    <row r="9" spans="1:7" x14ac:dyDescent="0.25">
      <c r="A9" t="s">
        <v>160</v>
      </c>
      <c r="B9" s="2">
        <v>45881</v>
      </c>
      <c r="C9" s="4">
        <v>0.33986077638263362</v>
      </c>
      <c r="D9" s="4">
        <v>0.44694403850411624</v>
      </c>
      <c r="F9" t="str">
        <f>INDEX('Database Pegawai'!B:B,MATCH($A9,'Database Pegawai'!$A:$A,0))</f>
        <v>Moona Hoshinova</v>
      </c>
      <c r="G9" t="str">
        <f>INDEX('Database Pegawai'!C:C,MATCH($A9,'Database Pegawai'!$A:$A,0))</f>
        <v>FE Engineer</v>
      </c>
    </row>
    <row r="10" spans="1:7" x14ac:dyDescent="0.25">
      <c r="A10" t="s">
        <v>156</v>
      </c>
      <c r="B10" s="2">
        <v>45901</v>
      </c>
      <c r="C10" s="4">
        <v>0.34351543228059783</v>
      </c>
      <c r="D10" s="4">
        <v>0.73198367639126238</v>
      </c>
      <c r="F10" t="str">
        <f>INDEX('Database Pegawai'!B:B,MATCH($A10,'Database Pegawai'!$A:$A,0))</f>
        <v>Kobo Kanaeru</v>
      </c>
      <c r="G10" t="str">
        <f>INDEX('Database Pegawai'!C:C,MATCH($A10,'Database Pegawai'!$A:$A,0))</f>
        <v>Data Scientist</v>
      </c>
    </row>
    <row r="11" spans="1:7" x14ac:dyDescent="0.25">
      <c r="A11" t="s">
        <v>158</v>
      </c>
      <c r="B11" s="2">
        <v>45879</v>
      </c>
      <c r="C11" s="4">
        <v>0.3569836418321416</v>
      </c>
      <c r="D11" s="4">
        <v>0.70829994284565978</v>
      </c>
      <c r="F11" t="str">
        <f>INDEX('Database Pegawai'!B:B,MATCH($A11,'Database Pegawai'!$A:$A,0))</f>
        <v>Kaela Kovalskia</v>
      </c>
      <c r="G11" t="str">
        <f>INDEX('Database Pegawai'!C:C,MATCH($A11,'Database Pegawai'!$A:$A,0))</f>
        <v>Data Engineer</v>
      </c>
    </row>
    <row r="12" spans="1:7" x14ac:dyDescent="0.25">
      <c r="A12" t="s">
        <v>158</v>
      </c>
      <c r="B12" s="2">
        <v>45879</v>
      </c>
      <c r="C12" s="4">
        <v>0.41334904301590281</v>
      </c>
      <c r="D12" s="4">
        <v>0.50856071948456583</v>
      </c>
      <c r="F12" t="str">
        <f>INDEX('Database Pegawai'!B:B,MATCH($A12,'Database Pegawai'!$A:$A,0))</f>
        <v>Kaela Kovalskia</v>
      </c>
      <c r="G12" t="str">
        <f>INDEX('Database Pegawai'!C:C,MATCH($A12,'Database Pegawai'!$A:$A,0))</f>
        <v>Data Engineer</v>
      </c>
    </row>
    <row r="13" spans="1:7" x14ac:dyDescent="0.25">
      <c r="A13" t="s">
        <v>158</v>
      </c>
      <c r="B13" s="2">
        <v>45896</v>
      </c>
      <c r="C13" s="4">
        <v>0.35066348129217162</v>
      </c>
      <c r="D13" s="4">
        <v>0.47933582281995385</v>
      </c>
      <c r="F13" t="str">
        <f>INDEX('Database Pegawai'!B:B,MATCH($A13,'Database Pegawai'!$A:$A,0))</f>
        <v>Kaela Kovalskia</v>
      </c>
      <c r="G13" t="str">
        <f>INDEX('Database Pegawai'!C:C,MATCH($A13,'Database Pegawai'!$A:$A,0))</f>
        <v>Data Engineer</v>
      </c>
    </row>
    <row r="14" spans="1:7" x14ac:dyDescent="0.25">
      <c r="A14" t="s">
        <v>162</v>
      </c>
      <c r="B14" s="2">
        <v>45890</v>
      </c>
      <c r="C14" s="4">
        <v>0.35822662178339215</v>
      </c>
      <c r="D14" s="4">
        <v>0.62179813766534853</v>
      </c>
      <c r="F14" t="str">
        <f>INDEX('Database Pegawai'!B:B,MATCH($A14,'Database Pegawai'!$A:$A,0))</f>
        <v>Anya Melfisa</v>
      </c>
      <c r="G14" t="str">
        <f>INDEX('Database Pegawai'!C:C,MATCH($A14,'Database Pegawai'!$A:$A,0))</f>
        <v>Marketing Spesialist</v>
      </c>
    </row>
    <row r="15" spans="1:7" x14ac:dyDescent="0.25">
      <c r="A15" t="s">
        <v>156</v>
      </c>
      <c r="B15" s="2">
        <v>45908</v>
      </c>
      <c r="C15" s="4">
        <v>0.37862191177410232</v>
      </c>
      <c r="D15" s="4">
        <v>0.52786712225092325</v>
      </c>
      <c r="F15" t="str">
        <f>INDEX('Database Pegawai'!B:B,MATCH($A15,'Database Pegawai'!$A:$A,0))</f>
        <v>Kobo Kanaeru</v>
      </c>
      <c r="G15" t="str">
        <f>INDEX('Database Pegawai'!C:C,MATCH($A15,'Database Pegawai'!$A:$A,0))</f>
        <v>Data Scientist</v>
      </c>
    </row>
    <row r="16" spans="1:7" x14ac:dyDescent="0.25">
      <c r="A16" t="s">
        <v>161</v>
      </c>
      <c r="B16" s="2">
        <v>45904</v>
      </c>
      <c r="C16" s="4">
        <v>0.33354127873935263</v>
      </c>
      <c r="D16" s="4">
        <v>0.44871671884772102</v>
      </c>
      <c r="F16" t="str">
        <f>INDEX('Database Pegawai'!B:B,MATCH($A16,'Database Pegawai'!$A:$A,0))</f>
        <v>Kureiji Ollie</v>
      </c>
      <c r="G16" t="str">
        <f>INDEX('Database Pegawai'!C:C,MATCH($A16,'Database Pegawai'!$A:$A,0))</f>
        <v>BE Engineer</v>
      </c>
    </row>
    <row r="17" spans="1:7" x14ac:dyDescent="0.25">
      <c r="A17" t="s">
        <v>158</v>
      </c>
      <c r="B17" s="2">
        <v>45888</v>
      </c>
      <c r="C17" s="4">
        <v>0.33609899008647154</v>
      </c>
      <c r="D17" s="4">
        <v>0.43998690625386805</v>
      </c>
      <c r="F17" t="str">
        <f>INDEX('Database Pegawai'!B:B,MATCH($A17,'Database Pegawai'!$A:$A,0))</f>
        <v>Kaela Kovalskia</v>
      </c>
      <c r="G17" t="str">
        <f>INDEX('Database Pegawai'!C:C,MATCH($A17,'Database Pegawai'!$A:$A,0))</f>
        <v>Data Engineer</v>
      </c>
    </row>
    <row r="18" spans="1:7" x14ac:dyDescent="0.25">
      <c r="A18" t="s">
        <v>160</v>
      </c>
      <c r="B18" s="2">
        <v>45903</v>
      </c>
      <c r="C18" s="4">
        <v>0.39233264028643178</v>
      </c>
      <c r="D18" s="4">
        <v>0.6687626903569992</v>
      </c>
      <c r="F18" t="str">
        <f>INDEX('Database Pegawai'!B:B,MATCH($A18,'Database Pegawai'!$A:$A,0))</f>
        <v>Moona Hoshinova</v>
      </c>
      <c r="G18" t="str">
        <f>INDEX('Database Pegawai'!C:C,MATCH($A18,'Database Pegawai'!$A:$A,0))</f>
        <v>FE Engineer</v>
      </c>
    </row>
    <row r="19" spans="1:7" x14ac:dyDescent="0.25">
      <c r="A19" t="s">
        <v>161</v>
      </c>
      <c r="B19" s="2">
        <v>45906</v>
      </c>
      <c r="C19" s="4">
        <v>0.33477252515997796</v>
      </c>
      <c r="D19" s="4">
        <v>0.71970827976406015</v>
      </c>
      <c r="F19" t="str">
        <f>INDEX('Database Pegawai'!B:B,MATCH($A19,'Database Pegawai'!$A:$A,0))</f>
        <v>Kureiji Ollie</v>
      </c>
      <c r="G19" t="str">
        <f>INDEX('Database Pegawai'!C:C,MATCH($A19,'Database Pegawai'!$A:$A,0))</f>
        <v>BE Engineer</v>
      </c>
    </row>
    <row r="20" spans="1:7" x14ac:dyDescent="0.25">
      <c r="A20" t="s">
        <v>161</v>
      </c>
      <c r="B20" s="2">
        <v>45894</v>
      </c>
      <c r="C20" s="4">
        <v>0.38871298375456764</v>
      </c>
      <c r="D20" s="4">
        <v>0.54561165885779428</v>
      </c>
      <c r="F20" t="str">
        <f>INDEX('Database Pegawai'!B:B,MATCH($A20,'Database Pegawai'!$A:$A,0))</f>
        <v>Kureiji Ollie</v>
      </c>
      <c r="G20" t="str">
        <f>INDEX('Database Pegawai'!C:C,MATCH($A20,'Database Pegawai'!$A:$A,0))</f>
        <v>BE Engineer</v>
      </c>
    </row>
    <row r="21" spans="1:7" x14ac:dyDescent="0.25">
      <c r="A21" t="s">
        <v>157</v>
      </c>
      <c r="B21" s="2">
        <v>45910</v>
      </c>
      <c r="C21" s="4">
        <v>0.397753875070122</v>
      </c>
      <c r="D21" s="4">
        <v>0.67894037476530456</v>
      </c>
      <c r="F21" t="str">
        <f>INDEX('Database Pegawai'!B:B,MATCH($A21,'Database Pegawai'!$A:$A,0))</f>
        <v>Vestia Zeta</v>
      </c>
      <c r="G21" t="str">
        <f>INDEX('Database Pegawai'!C:C,MATCH($A21,'Database Pegawai'!$A:$A,0))</f>
        <v>Cyber Security</v>
      </c>
    </row>
    <row r="22" spans="1:7" x14ac:dyDescent="0.25">
      <c r="A22" t="s">
        <v>156</v>
      </c>
      <c r="B22" s="2">
        <v>45898</v>
      </c>
      <c r="C22" s="4">
        <v>0.34849283335426484</v>
      </c>
      <c r="D22" s="4">
        <v>0.45016577043820183</v>
      </c>
      <c r="F22" t="str">
        <f>INDEX('Database Pegawai'!B:B,MATCH($A22,'Database Pegawai'!$A:$A,0))</f>
        <v>Kobo Kanaeru</v>
      </c>
      <c r="G22" t="str">
        <f>INDEX('Database Pegawai'!C:C,MATCH($A22,'Database Pegawai'!$A:$A,0))</f>
        <v>Data Scientist</v>
      </c>
    </row>
    <row r="23" spans="1:7" x14ac:dyDescent="0.25">
      <c r="A23" t="s">
        <v>162</v>
      </c>
      <c r="B23" s="2">
        <v>45901</v>
      </c>
      <c r="C23" s="4">
        <v>0.36536551123056854</v>
      </c>
      <c r="D23" s="4">
        <v>0.59635818460355272</v>
      </c>
      <c r="F23" t="str">
        <f>INDEX('Database Pegawai'!B:B,MATCH($A23,'Database Pegawai'!$A:$A,0))</f>
        <v>Anya Melfisa</v>
      </c>
      <c r="G23" t="str">
        <f>INDEX('Database Pegawai'!C:C,MATCH($A23,'Database Pegawai'!$A:$A,0))</f>
        <v>Marketing Spesialist</v>
      </c>
    </row>
    <row r="24" spans="1:7" x14ac:dyDescent="0.25">
      <c r="A24" t="s">
        <v>159</v>
      </c>
      <c r="B24" s="2">
        <v>45868</v>
      </c>
      <c r="C24" s="4">
        <v>0.4089191784253452</v>
      </c>
      <c r="D24" s="4">
        <v>0.51598570981801262</v>
      </c>
      <c r="F24" t="str">
        <f>INDEX('Database Pegawai'!B:B,MATCH($A24,'Database Pegawai'!$A:$A,0))</f>
        <v>Ayunda Risu</v>
      </c>
      <c r="G24" t="str">
        <f>INDEX('Database Pegawai'!C:C,MATCH($A24,'Database Pegawai'!$A:$A,0))</f>
        <v>HR Manager</v>
      </c>
    </row>
    <row r="25" spans="1:7" x14ac:dyDescent="0.25">
      <c r="A25" t="s">
        <v>162</v>
      </c>
      <c r="B25" s="2">
        <v>45867</v>
      </c>
      <c r="C25" s="4">
        <v>0.40744284209664261</v>
      </c>
      <c r="D25" s="4">
        <v>0.69987161654805563</v>
      </c>
      <c r="F25" t="str">
        <f>INDEX('Database Pegawai'!B:B,MATCH($A25,'Database Pegawai'!$A:$A,0))</f>
        <v>Anya Melfisa</v>
      </c>
      <c r="G25" t="str">
        <f>INDEX('Database Pegawai'!C:C,MATCH($A25,'Database Pegawai'!$A:$A,0))</f>
        <v>Marketing Spesialist</v>
      </c>
    </row>
    <row r="26" spans="1:7" x14ac:dyDescent="0.25">
      <c r="A26" t="s">
        <v>161</v>
      </c>
      <c r="B26" s="2">
        <v>45867</v>
      </c>
      <c r="C26" s="4">
        <v>0.38179455485830971</v>
      </c>
      <c r="D26" s="4">
        <v>0.71693278350633061</v>
      </c>
      <c r="F26" t="str">
        <f>INDEX('Database Pegawai'!B:B,MATCH($A26,'Database Pegawai'!$A:$A,0))</f>
        <v>Kureiji Ollie</v>
      </c>
      <c r="G26" t="str">
        <f>INDEX('Database Pegawai'!C:C,MATCH($A26,'Database Pegawai'!$A:$A,0))</f>
        <v>BE Engineer</v>
      </c>
    </row>
    <row r="27" spans="1:7" x14ac:dyDescent="0.25">
      <c r="A27" t="s">
        <v>157</v>
      </c>
      <c r="B27" s="2">
        <v>45869</v>
      </c>
      <c r="C27" s="4">
        <v>0.35218303864074985</v>
      </c>
      <c r="D27" s="4">
        <v>0.49258425796102134</v>
      </c>
      <c r="F27" t="str">
        <f>INDEX('Database Pegawai'!B:B,MATCH($A27,'Database Pegawai'!$A:$A,0))</f>
        <v>Vestia Zeta</v>
      </c>
      <c r="G27" t="str">
        <f>INDEX('Database Pegawai'!C:C,MATCH($A27,'Database Pegawai'!$A:$A,0))</f>
        <v>Cyber Security</v>
      </c>
    </row>
    <row r="28" spans="1:7" x14ac:dyDescent="0.25">
      <c r="A28" t="s">
        <v>161</v>
      </c>
      <c r="B28" s="2">
        <v>45908</v>
      </c>
      <c r="C28" s="4">
        <v>0.34700845717784728</v>
      </c>
      <c r="D28" s="4">
        <v>0.69675754255488154</v>
      </c>
      <c r="F28" t="str">
        <f>INDEX('Database Pegawai'!B:B,MATCH($A28,'Database Pegawai'!$A:$A,0))</f>
        <v>Kureiji Ollie</v>
      </c>
      <c r="G28" t="str">
        <f>INDEX('Database Pegawai'!C:C,MATCH($A28,'Database Pegawai'!$A:$A,0))</f>
        <v>BE Engineer</v>
      </c>
    </row>
    <row r="29" spans="1:7" x14ac:dyDescent="0.25">
      <c r="A29" t="s">
        <v>162</v>
      </c>
      <c r="B29" s="2">
        <v>45888</v>
      </c>
      <c r="C29" s="4">
        <v>0.37433677654412056</v>
      </c>
      <c r="D29" s="4">
        <v>0.56284760801936762</v>
      </c>
      <c r="F29" t="str">
        <f>INDEX('Database Pegawai'!B:B,MATCH($A29,'Database Pegawai'!$A:$A,0))</f>
        <v>Anya Melfisa</v>
      </c>
      <c r="G29" t="str">
        <f>INDEX('Database Pegawai'!C:C,MATCH($A29,'Database Pegawai'!$A:$A,0))</f>
        <v>Marketing Spesialist</v>
      </c>
    </row>
    <row r="30" spans="1:7" x14ac:dyDescent="0.25">
      <c r="A30" t="s">
        <v>159</v>
      </c>
      <c r="B30" s="2">
        <v>45894</v>
      </c>
      <c r="C30" s="4">
        <v>0.36323107986728953</v>
      </c>
      <c r="D30" s="4">
        <v>0.74382456344093595</v>
      </c>
      <c r="F30" t="str">
        <f>INDEX('Database Pegawai'!B:B,MATCH($A30,'Database Pegawai'!$A:$A,0))</f>
        <v>Ayunda Risu</v>
      </c>
      <c r="G30" t="str">
        <f>INDEX('Database Pegawai'!C:C,MATCH($A30,'Database Pegawai'!$A:$A,0))</f>
        <v>HR Manager</v>
      </c>
    </row>
    <row r="31" spans="1:7" x14ac:dyDescent="0.25">
      <c r="A31" t="s">
        <v>162</v>
      </c>
      <c r="B31" s="2">
        <v>45910</v>
      </c>
      <c r="C31" s="4">
        <v>0.38480361669708624</v>
      </c>
      <c r="D31" s="4">
        <v>0.43619224962164654</v>
      </c>
      <c r="F31" t="str">
        <f>INDEX('Database Pegawai'!B:B,MATCH($A31,'Database Pegawai'!$A:$A,0))</f>
        <v>Anya Melfisa</v>
      </c>
      <c r="G31" t="str">
        <f>INDEX('Database Pegawai'!C:C,MATCH($A31,'Database Pegawai'!$A:$A,0))</f>
        <v>Marketing Spesialist</v>
      </c>
    </row>
    <row r="32" spans="1:7" x14ac:dyDescent="0.25">
      <c r="A32" t="s">
        <v>161</v>
      </c>
      <c r="B32" s="2">
        <v>45881</v>
      </c>
      <c r="C32" s="4">
        <v>0.33481533127253577</v>
      </c>
      <c r="D32" s="4">
        <v>0.60367192964433236</v>
      </c>
      <c r="F32" t="str">
        <f>INDEX('Database Pegawai'!B:B,MATCH($A32,'Database Pegawai'!$A:$A,0))</f>
        <v>Kureiji Ollie</v>
      </c>
      <c r="G32" t="str">
        <f>INDEX('Database Pegawai'!C:C,MATCH($A32,'Database Pegawai'!$A:$A,0))</f>
        <v>BE Engineer</v>
      </c>
    </row>
    <row r="33" spans="1:7" x14ac:dyDescent="0.25">
      <c r="A33" t="s">
        <v>156</v>
      </c>
      <c r="B33" s="2">
        <v>45883</v>
      </c>
      <c r="C33" s="4">
        <v>0.37016739762196738</v>
      </c>
      <c r="D33" s="4">
        <v>0.72739013672382957</v>
      </c>
      <c r="F33" t="str">
        <f>INDEX('Database Pegawai'!B:B,MATCH($A33,'Database Pegawai'!$A:$A,0))</f>
        <v>Kobo Kanaeru</v>
      </c>
      <c r="G33" t="str">
        <f>INDEX('Database Pegawai'!C:C,MATCH($A33,'Database Pegawai'!$A:$A,0))</f>
        <v>Data Scientist</v>
      </c>
    </row>
    <row r="34" spans="1:7" x14ac:dyDescent="0.25">
      <c r="A34" t="s">
        <v>160</v>
      </c>
      <c r="B34" s="2">
        <v>45905</v>
      </c>
      <c r="C34" s="4">
        <v>0.35274644931614674</v>
      </c>
      <c r="D34" s="4">
        <v>0.54491917350166696</v>
      </c>
      <c r="F34" t="str">
        <f>INDEX('Database Pegawai'!B:B,MATCH($A34,'Database Pegawai'!$A:$A,0))</f>
        <v>Moona Hoshinova</v>
      </c>
      <c r="G34" t="str">
        <f>INDEX('Database Pegawai'!C:C,MATCH($A34,'Database Pegawai'!$A:$A,0))</f>
        <v>FE Engineer</v>
      </c>
    </row>
    <row r="35" spans="1:7" x14ac:dyDescent="0.25">
      <c r="A35" t="s">
        <v>158</v>
      </c>
      <c r="B35" s="2">
        <v>45870</v>
      </c>
      <c r="C35" s="4">
        <v>0.37347611416694931</v>
      </c>
      <c r="D35" s="4">
        <v>0.66005217287903406</v>
      </c>
      <c r="F35" t="str">
        <f>INDEX('Database Pegawai'!B:B,MATCH($A35,'Database Pegawai'!$A:$A,0))</f>
        <v>Kaela Kovalskia</v>
      </c>
      <c r="G35" t="str">
        <f>INDEX('Database Pegawai'!C:C,MATCH($A35,'Database Pegawai'!$A:$A,0))</f>
        <v>Data Engineer</v>
      </c>
    </row>
    <row r="36" spans="1:7" x14ac:dyDescent="0.25">
      <c r="A36" t="s">
        <v>158</v>
      </c>
      <c r="B36" s="2">
        <v>45908</v>
      </c>
      <c r="C36" s="4">
        <v>0.40217988974271768</v>
      </c>
      <c r="D36" s="4">
        <v>0.56404930602740155</v>
      </c>
      <c r="F36" t="str">
        <f>INDEX('Database Pegawai'!B:B,MATCH($A36,'Database Pegawai'!$A:$A,0))</f>
        <v>Kaela Kovalskia</v>
      </c>
      <c r="G36" t="str">
        <f>INDEX('Database Pegawai'!C:C,MATCH($A36,'Database Pegawai'!$A:$A,0))</f>
        <v>Data Engineer</v>
      </c>
    </row>
    <row r="37" spans="1:7" x14ac:dyDescent="0.25">
      <c r="A37" t="s">
        <v>161</v>
      </c>
      <c r="B37" s="2">
        <v>45882</v>
      </c>
      <c r="C37" s="4">
        <v>0.40523806509216825</v>
      </c>
      <c r="D37" s="4">
        <v>0.64479921954152319</v>
      </c>
      <c r="F37" t="str">
        <f>INDEX('Database Pegawai'!B:B,MATCH($A37,'Database Pegawai'!$A:$A,0))</f>
        <v>Kureiji Ollie</v>
      </c>
      <c r="G37" t="str">
        <f>INDEX('Database Pegawai'!C:C,MATCH($A37,'Database Pegawai'!$A:$A,0))</f>
        <v>BE Engineer</v>
      </c>
    </row>
    <row r="38" spans="1:7" x14ac:dyDescent="0.25">
      <c r="A38" t="s">
        <v>159</v>
      </c>
      <c r="B38" s="2">
        <v>45907</v>
      </c>
      <c r="C38" s="4">
        <v>0.38733412012040636</v>
      </c>
      <c r="D38" s="4">
        <v>0.7130063977823573</v>
      </c>
      <c r="F38" t="str">
        <f>INDEX('Database Pegawai'!B:B,MATCH($A38,'Database Pegawai'!$A:$A,0))</f>
        <v>Ayunda Risu</v>
      </c>
      <c r="G38" t="str">
        <f>INDEX('Database Pegawai'!C:C,MATCH($A38,'Database Pegawai'!$A:$A,0))</f>
        <v>HR Manager</v>
      </c>
    </row>
    <row r="39" spans="1:7" x14ac:dyDescent="0.25">
      <c r="A39" t="s">
        <v>156</v>
      </c>
      <c r="B39" s="2">
        <v>45869</v>
      </c>
      <c r="C39" s="4">
        <v>0.35016330038321769</v>
      </c>
      <c r="D39" s="4">
        <v>0.50109360921992829</v>
      </c>
      <c r="F39" t="str">
        <f>INDEX('Database Pegawai'!B:B,MATCH($A39,'Database Pegawai'!$A:$A,0))</f>
        <v>Kobo Kanaeru</v>
      </c>
      <c r="G39" t="str">
        <f>INDEX('Database Pegawai'!C:C,MATCH($A39,'Database Pegawai'!$A:$A,0))</f>
        <v>Data Scientist</v>
      </c>
    </row>
    <row r="40" spans="1:7" x14ac:dyDescent="0.25">
      <c r="A40" t="s">
        <v>158</v>
      </c>
      <c r="B40" s="2">
        <v>45897</v>
      </c>
      <c r="C40" s="4">
        <v>0.35867589213507495</v>
      </c>
      <c r="D40" s="4">
        <v>0.59722793855698864</v>
      </c>
      <c r="F40" t="str">
        <f>INDEX('Database Pegawai'!B:B,MATCH($A40,'Database Pegawai'!$A:$A,0))</f>
        <v>Kaela Kovalskia</v>
      </c>
      <c r="G40" t="str">
        <f>INDEX('Database Pegawai'!C:C,MATCH($A40,'Database Pegawai'!$A:$A,0))</f>
        <v>Data Engineer</v>
      </c>
    </row>
    <row r="41" spans="1:7" x14ac:dyDescent="0.25">
      <c r="A41" t="s">
        <v>158</v>
      </c>
      <c r="B41" s="2">
        <v>45883</v>
      </c>
      <c r="C41" s="4">
        <v>0.40471241820749498</v>
      </c>
      <c r="D41" s="4">
        <v>0.66662168838274494</v>
      </c>
      <c r="F41" t="str">
        <f>INDEX('Database Pegawai'!B:B,MATCH($A41,'Database Pegawai'!$A:$A,0))</f>
        <v>Kaela Kovalskia</v>
      </c>
      <c r="G41" t="str">
        <f>INDEX('Database Pegawai'!C:C,MATCH($A41,'Database Pegawai'!$A:$A,0))</f>
        <v>Data Engineer</v>
      </c>
    </row>
    <row r="42" spans="1:7" x14ac:dyDescent="0.25">
      <c r="A42" t="s">
        <v>156</v>
      </c>
      <c r="B42" s="2">
        <v>45908</v>
      </c>
      <c r="C42" s="4">
        <v>0.41120403032712227</v>
      </c>
      <c r="D42" s="4">
        <v>0.55539590067974709</v>
      </c>
      <c r="F42" t="str">
        <f>INDEX('Database Pegawai'!B:B,MATCH($A42,'Database Pegawai'!$A:$A,0))</f>
        <v>Kobo Kanaeru</v>
      </c>
      <c r="G42" t="str">
        <f>INDEX('Database Pegawai'!C:C,MATCH($A42,'Database Pegawai'!$A:$A,0))</f>
        <v>Data Scientist</v>
      </c>
    </row>
    <row r="43" spans="1:7" x14ac:dyDescent="0.25">
      <c r="A43" t="s">
        <v>158</v>
      </c>
      <c r="B43" s="2">
        <v>45875</v>
      </c>
      <c r="C43" s="4">
        <v>0.34462720233941463</v>
      </c>
      <c r="D43" s="4">
        <v>0.5798383037210656</v>
      </c>
      <c r="F43" t="str">
        <f>INDEX('Database Pegawai'!B:B,MATCH($A43,'Database Pegawai'!$A:$A,0))</f>
        <v>Kaela Kovalskia</v>
      </c>
      <c r="G43" t="str">
        <f>INDEX('Database Pegawai'!C:C,MATCH($A43,'Database Pegawai'!$A:$A,0))</f>
        <v>Data Engineer</v>
      </c>
    </row>
    <row r="44" spans="1:7" x14ac:dyDescent="0.25">
      <c r="A44" t="s">
        <v>160</v>
      </c>
      <c r="B44" s="2">
        <v>45899</v>
      </c>
      <c r="C44" s="4">
        <v>0.37316268195140556</v>
      </c>
      <c r="D44" s="4">
        <v>0.54331959259640428</v>
      </c>
      <c r="F44" t="str">
        <f>INDEX('Database Pegawai'!B:B,MATCH($A44,'Database Pegawai'!$A:$A,0))</f>
        <v>Moona Hoshinova</v>
      </c>
      <c r="G44" t="str">
        <f>INDEX('Database Pegawai'!C:C,MATCH($A44,'Database Pegawai'!$A:$A,0))</f>
        <v>FE Engineer</v>
      </c>
    </row>
    <row r="45" spans="1:7" x14ac:dyDescent="0.25">
      <c r="A45" t="s">
        <v>162</v>
      </c>
      <c r="B45" s="2">
        <v>45880</v>
      </c>
      <c r="C45" s="4">
        <v>0.33883408250906399</v>
      </c>
      <c r="D45" s="4">
        <v>0.42181955217698358</v>
      </c>
      <c r="F45" t="str">
        <f>INDEX('Database Pegawai'!B:B,MATCH($A45,'Database Pegawai'!$A:$A,0))</f>
        <v>Anya Melfisa</v>
      </c>
      <c r="G45" t="str">
        <f>INDEX('Database Pegawai'!C:C,MATCH($A45,'Database Pegawai'!$A:$A,0))</f>
        <v>Marketing Spesialist</v>
      </c>
    </row>
    <row r="46" spans="1:7" x14ac:dyDescent="0.25">
      <c r="A46" t="s">
        <v>157</v>
      </c>
      <c r="B46" s="2">
        <v>45878</v>
      </c>
      <c r="C46" s="4">
        <v>0.35403557107092748</v>
      </c>
      <c r="D46" s="4">
        <v>0.59541298660356046</v>
      </c>
      <c r="F46" t="str">
        <f>INDEX('Database Pegawai'!B:B,MATCH($A46,'Database Pegawai'!$A:$A,0))</f>
        <v>Vestia Zeta</v>
      </c>
      <c r="G46" t="str">
        <f>INDEX('Database Pegawai'!C:C,MATCH($A46,'Database Pegawai'!$A:$A,0))</f>
        <v>Cyber Security</v>
      </c>
    </row>
    <row r="47" spans="1:7" x14ac:dyDescent="0.25">
      <c r="A47" t="s">
        <v>162</v>
      </c>
      <c r="B47" s="2">
        <v>45893</v>
      </c>
      <c r="C47" s="4">
        <v>0.383837405460004</v>
      </c>
      <c r="D47" s="4">
        <v>0.55587618105179348</v>
      </c>
      <c r="F47" t="str">
        <f>INDEX('Database Pegawai'!B:B,MATCH($A47,'Database Pegawai'!$A:$A,0))</f>
        <v>Anya Melfisa</v>
      </c>
      <c r="G47" t="str">
        <f>INDEX('Database Pegawai'!C:C,MATCH($A47,'Database Pegawai'!$A:$A,0))</f>
        <v>Marketing Spesialist</v>
      </c>
    </row>
    <row r="48" spans="1:7" x14ac:dyDescent="0.25">
      <c r="A48" t="s">
        <v>162</v>
      </c>
      <c r="B48" s="2">
        <v>45909</v>
      </c>
      <c r="C48" s="4">
        <v>0.36617058246628037</v>
      </c>
      <c r="D48" s="4">
        <v>0.58515649650266832</v>
      </c>
      <c r="F48" t="str">
        <f>INDEX('Database Pegawai'!B:B,MATCH($A48,'Database Pegawai'!$A:$A,0))</f>
        <v>Anya Melfisa</v>
      </c>
      <c r="G48" t="str">
        <f>INDEX('Database Pegawai'!C:C,MATCH($A48,'Database Pegawai'!$A:$A,0))</f>
        <v>Marketing Spesialist</v>
      </c>
    </row>
    <row r="49" spans="1:7" x14ac:dyDescent="0.25">
      <c r="A49" t="s">
        <v>159</v>
      </c>
      <c r="B49" s="2">
        <v>45891</v>
      </c>
      <c r="C49" s="4">
        <v>0.34181457640950991</v>
      </c>
      <c r="D49" s="4">
        <v>0.46063055520172125</v>
      </c>
      <c r="F49" t="str">
        <f>INDEX('Database Pegawai'!B:B,MATCH($A49,'Database Pegawai'!$A:$A,0))</f>
        <v>Ayunda Risu</v>
      </c>
      <c r="G49" t="str">
        <f>INDEX('Database Pegawai'!C:C,MATCH($A49,'Database Pegawai'!$A:$A,0))</f>
        <v>HR Manager</v>
      </c>
    </row>
    <row r="50" spans="1:7" x14ac:dyDescent="0.25">
      <c r="A50" t="s">
        <v>158</v>
      </c>
      <c r="B50" s="2">
        <v>45910</v>
      </c>
      <c r="C50" s="4">
        <v>0.35655280708922299</v>
      </c>
      <c r="D50" s="4">
        <v>0.62429195245071278</v>
      </c>
      <c r="F50" t="str">
        <f>INDEX('Database Pegawai'!B:B,MATCH($A50,'Database Pegawai'!$A:$A,0))</f>
        <v>Kaela Kovalskia</v>
      </c>
      <c r="G50" t="str">
        <f>INDEX('Database Pegawai'!C:C,MATCH($A50,'Database Pegawai'!$A:$A,0))</f>
        <v>Data Engineer</v>
      </c>
    </row>
    <row r="51" spans="1:7" x14ac:dyDescent="0.25">
      <c r="A51" t="s">
        <v>157</v>
      </c>
      <c r="B51" s="2">
        <v>45869</v>
      </c>
      <c r="C51" s="4">
        <v>0.33808608888079955</v>
      </c>
      <c r="D51" s="4">
        <v>0.49248558379200952</v>
      </c>
      <c r="F51" t="str">
        <f>INDEX('Database Pegawai'!B:B,MATCH($A51,'Database Pegawai'!$A:$A,0))</f>
        <v>Vestia Zeta</v>
      </c>
      <c r="G51" t="str">
        <f>INDEX('Database Pegawai'!C:C,MATCH($A51,'Database Pegawai'!$A:$A,0))</f>
        <v>Cyber Security</v>
      </c>
    </row>
    <row r="52" spans="1:7" x14ac:dyDescent="0.25">
      <c r="A52" t="s">
        <v>156</v>
      </c>
      <c r="B52" s="2">
        <v>45870</v>
      </c>
      <c r="C52" s="4">
        <v>0.37278304042870025</v>
      </c>
      <c r="D52" s="4">
        <v>0.47908105253908961</v>
      </c>
      <c r="F52" t="str">
        <f>INDEX('Database Pegawai'!B:B,MATCH($A52,'Database Pegawai'!$A:$A,0))</f>
        <v>Kobo Kanaeru</v>
      </c>
      <c r="G52" t="str">
        <f>INDEX('Database Pegawai'!C:C,MATCH($A52,'Database Pegawai'!$A:$A,0))</f>
        <v>Data Scientist</v>
      </c>
    </row>
  </sheetData>
  <phoneticPr fontId="2" type="noConversion"/>
  <dataValidations xWindow="264" yWindow="318" count="3">
    <dataValidation type="date" allowBlank="1" showInputMessage="1" showErrorMessage="1" errorTitle="Input Tanggal Kehadiran Pegawai" error="Tolong input dalam bentuk 'Date'" promptTitle="Input Tanggal Kehadiran Pegawai" prompt="Input Tanggal Kehadiran Pegawai dalam bentuk 'Date'" sqref="B1:B1048576" xr:uid="{28CA3ACA-43E8-4182-893F-E4F4C67541C6}">
      <formula1>45867</formula1>
      <formula2>45910</formula2>
    </dataValidation>
    <dataValidation type="time" allowBlank="1" showInputMessage="1" showErrorMessage="1" errorTitle="Input Jam Masuk Pegawai" error="Tolong Input Jam Masuk Pegawai dalam bentu 'Time' (HH:mm) (09:00 - 18:00)" promptTitle="Input Jam Masuk Pegawai" prompt="Input Jam Masuk Pegawai dalam bentu 'Time' (HH:mm)" sqref="C1:C1048576" xr:uid="{98E64F56-2A54-4261-BAF3-E167E6746BDC}">
      <formula1>0.333333333333333</formula1>
      <formula2>0.75</formula2>
    </dataValidation>
    <dataValidation type="time" allowBlank="1" showInputMessage="1" showErrorMessage="1" errorTitle="Input Waktu Pulang Pegawai" error="Input Waktu Pulang Pegawai dalam bentuk 'Date' hanya boleh (10:00 - 18:00)" promptTitle="Input Waktu Pulang Pegawai" prompt="Input Waktu Pulang Pegawai dalam bentuk 'Date' hanya boleh (10:00 - 18:00)" sqref="D1" xr:uid="{0414EB6D-320B-4AF1-894B-AF5C6E154F36}">
      <formula1>0.416666666666667</formula1>
      <formula2>0.75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05AE-6092-473B-8D6A-625C4823A3B0}">
  <dimension ref="A3:D11"/>
  <sheetViews>
    <sheetView workbookViewId="0">
      <selection activeCell="K26" sqref="K26"/>
    </sheetView>
  </sheetViews>
  <sheetFormatPr defaultRowHeight="15" x14ac:dyDescent="0.25"/>
  <cols>
    <col min="1" max="1" width="20.85546875" bestFit="1" customWidth="1"/>
    <col min="2" max="2" width="17" bestFit="1" customWidth="1"/>
    <col min="3" max="3" width="16.85546875" bestFit="1" customWidth="1"/>
    <col min="4" max="4" width="14.42578125" bestFit="1" customWidth="1"/>
  </cols>
  <sheetData>
    <row r="3" spans="1:4" x14ac:dyDescent="0.25">
      <c r="A3" s="7" t="s">
        <v>0</v>
      </c>
      <c r="B3" s="7" t="s">
        <v>152</v>
      </c>
      <c r="C3" t="s">
        <v>179</v>
      </c>
      <c r="D3" t="s">
        <v>153</v>
      </c>
    </row>
    <row r="4" spans="1:4" x14ac:dyDescent="0.25">
      <c r="A4" t="s">
        <v>156</v>
      </c>
      <c r="B4" t="s">
        <v>164</v>
      </c>
      <c r="C4" s="3">
        <v>8</v>
      </c>
      <c r="D4" s="3">
        <v>41.6</v>
      </c>
    </row>
    <row r="5" spans="1:4" x14ac:dyDescent="0.25">
      <c r="A5" t="s">
        <v>157</v>
      </c>
      <c r="B5" t="s">
        <v>166</v>
      </c>
      <c r="C5" s="3">
        <v>5</v>
      </c>
      <c r="D5" s="3">
        <v>24.5</v>
      </c>
    </row>
    <row r="6" spans="1:4" x14ac:dyDescent="0.25">
      <c r="A6" t="s">
        <v>158</v>
      </c>
      <c r="B6" t="s">
        <v>167</v>
      </c>
      <c r="C6" s="3">
        <v>11</v>
      </c>
      <c r="D6" s="3">
        <v>52.9</v>
      </c>
    </row>
    <row r="7" spans="1:4" x14ac:dyDescent="0.25">
      <c r="A7" t="s">
        <v>159</v>
      </c>
      <c r="B7" t="s">
        <v>163</v>
      </c>
      <c r="C7" s="3">
        <v>5</v>
      </c>
      <c r="D7" s="3">
        <v>29.099999999999998</v>
      </c>
    </row>
    <row r="8" spans="1:4" x14ac:dyDescent="0.25">
      <c r="A8" t="s">
        <v>160</v>
      </c>
      <c r="B8" t="s">
        <v>165</v>
      </c>
      <c r="C8" s="3">
        <v>5</v>
      </c>
      <c r="D8" s="3">
        <v>26.4</v>
      </c>
    </row>
    <row r="9" spans="1:4" x14ac:dyDescent="0.25">
      <c r="A9" t="s">
        <v>161</v>
      </c>
      <c r="B9" t="s">
        <v>168</v>
      </c>
      <c r="C9" s="3">
        <v>9</v>
      </c>
      <c r="D9" s="3">
        <v>53.7</v>
      </c>
    </row>
    <row r="10" spans="1:4" x14ac:dyDescent="0.25">
      <c r="A10" t="s">
        <v>162</v>
      </c>
      <c r="B10" t="s">
        <v>169</v>
      </c>
      <c r="C10" s="3">
        <v>8</v>
      </c>
      <c r="D10" s="3">
        <v>35.9</v>
      </c>
    </row>
    <row r="11" spans="1:4" x14ac:dyDescent="0.25">
      <c r="A11" t="s">
        <v>178</v>
      </c>
      <c r="C11" s="3">
        <v>51</v>
      </c>
      <c r="D11" s="3">
        <v>264.10000000000002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AA37-6F6A-4189-8AC1-FD0B0A638572}">
  <sheetPr codeName="Sheet6"/>
  <dimension ref="A1:I52"/>
  <sheetViews>
    <sheetView workbookViewId="0">
      <selection sqref="A1:I1048576"/>
    </sheetView>
  </sheetViews>
  <sheetFormatPr defaultRowHeight="15" x14ac:dyDescent="0.25"/>
  <cols>
    <col min="1" max="1" width="7.140625" style="3" bestFit="1" customWidth="1"/>
    <col min="2" max="2" width="15.85546875" style="5" bestFit="1" customWidth="1"/>
    <col min="3" max="3" width="13" style="6" bestFit="1" customWidth="1"/>
    <col min="4" max="4" width="13.140625" style="6" bestFit="1" customWidth="1"/>
    <col min="5" max="5" width="10" bestFit="1" customWidth="1"/>
    <col min="6" max="6" width="17" style="3" bestFit="1" customWidth="1"/>
    <col min="7" max="7" width="19.140625" style="3" bestFit="1" customWidth="1"/>
    <col min="8" max="8" width="17.85546875" style="6" bestFit="1" customWidth="1"/>
    <col min="9" max="9" width="15" style="3" bestFit="1" customWidth="1"/>
  </cols>
  <sheetData>
    <row r="1" spans="1:9" x14ac:dyDescent="0.25">
      <c r="A1" t="s">
        <v>0</v>
      </c>
      <c r="B1" t="s">
        <v>1</v>
      </c>
      <c r="C1" s="6" t="s">
        <v>2</v>
      </c>
      <c r="D1" t="s">
        <v>3</v>
      </c>
      <c r="E1" t="s">
        <v>4</v>
      </c>
      <c r="F1" t="s">
        <v>152</v>
      </c>
      <c r="G1" t="s">
        <v>138</v>
      </c>
      <c r="H1" s="6" t="s">
        <v>155</v>
      </c>
      <c r="I1" t="s">
        <v>177</v>
      </c>
    </row>
    <row r="2" spans="1:9" x14ac:dyDescent="0.25">
      <c r="A2" s="3" t="s">
        <v>156</v>
      </c>
      <c r="B2" s="5">
        <v>45871</v>
      </c>
      <c r="C2" s="6">
        <v>0.37025439935367616</v>
      </c>
      <c r="D2" s="6">
        <v>0.70404896924183213</v>
      </c>
      <c r="F2" s="3" t="s">
        <v>164</v>
      </c>
      <c r="G2" s="3" t="s">
        <v>170</v>
      </c>
      <c r="H2" s="6">
        <v>0.33379456988773148</v>
      </c>
      <c r="I2" s="3">
        <v>8</v>
      </c>
    </row>
    <row r="3" spans="1:9" x14ac:dyDescent="0.25">
      <c r="A3" s="3" t="s">
        <v>160</v>
      </c>
      <c r="B3" s="5">
        <v>45870</v>
      </c>
      <c r="C3" s="6">
        <v>0.33869240120987926</v>
      </c>
      <c r="D3" s="6">
        <v>0.69125764828705483</v>
      </c>
      <c r="F3" s="3" t="s">
        <v>165</v>
      </c>
      <c r="G3" s="3" t="s">
        <v>174</v>
      </c>
      <c r="H3" s="6">
        <v>0.35256524707754627</v>
      </c>
      <c r="I3" s="3">
        <v>8.5</v>
      </c>
    </row>
    <row r="4" spans="1:9" x14ac:dyDescent="0.25">
      <c r="A4" s="3" t="s">
        <v>159</v>
      </c>
      <c r="B4" s="5">
        <v>45889</v>
      </c>
      <c r="C4" s="6">
        <v>0.38500318142937595</v>
      </c>
      <c r="D4" s="6">
        <v>0.66315824821386204</v>
      </c>
      <c r="F4" s="3" t="s">
        <v>163</v>
      </c>
      <c r="G4" s="3" t="s">
        <v>173</v>
      </c>
      <c r="H4" s="6">
        <v>0.27815506678472224</v>
      </c>
      <c r="I4" s="3">
        <v>6.7</v>
      </c>
    </row>
    <row r="5" spans="1:9" x14ac:dyDescent="0.25">
      <c r="A5" s="3" t="s">
        <v>161</v>
      </c>
      <c r="B5" s="5">
        <v>45898</v>
      </c>
      <c r="C5" s="6">
        <v>0.39677087771548281</v>
      </c>
      <c r="D5" s="6">
        <v>0.60549424987598754</v>
      </c>
      <c r="F5" s="3" t="s">
        <v>168</v>
      </c>
      <c r="G5" s="3" t="s">
        <v>175</v>
      </c>
      <c r="H5" s="6">
        <v>0.20872337216087963</v>
      </c>
      <c r="I5" s="3">
        <v>5</v>
      </c>
    </row>
    <row r="6" spans="1:9" x14ac:dyDescent="0.25">
      <c r="A6" s="3" t="s">
        <v>158</v>
      </c>
      <c r="B6" s="5">
        <v>45891</v>
      </c>
      <c r="C6" s="6">
        <v>0.40834299188820233</v>
      </c>
      <c r="D6" s="6">
        <v>0.4840772092041552</v>
      </c>
      <c r="F6" s="3" t="s">
        <v>167</v>
      </c>
      <c r="G6" s="3" t="s">
        <v>172</v>
      </c>
      <c r="H6" s="6">
        <v>7.5734217315972227E-2</v>
      </c>
      <c r="I6" s="3">
        <v>1.8</v>
      </c>
    </row>
    <row r="7" spans="1:9" x14ac:dyDescent="0.25">
      <c r="A7" s="3" t="s">
        <v>157</v>
      </c>
      <c r="B7" s="5">
        <v>45872</v>
      </c>
      <c r="C7" s="6">
        <v>0.39516560448161731</v>
      </c>
      <c r="D7" s="6">
        <v>0.59842828373798873</v>
      </c>
      <c r="F7" s="3" t="s">
        <v>166</v>
      </c>
      <c r="G7" s="3" t="s">
        <v>171</v>
      </c>
      <c r="H7" s="6">
        <v>0.20326267925694444</v>
      </c>
      <c r="I7" s="3">
        <v>4.9000000000000004</v>
      </c>
    </row>
    <row r="8" spans="1:9" x14ac:dyDescent="0.25">
      <c r="A8" s="3" t="s">
        <v>161</v>
      </c>
      <c r="B8" s="5">
        <v>45894</v>
      </c>
      <c r="C8" s="6">
        <v>0.40130481985155309</v>
      </c>
      <c r="D8" s="6">
        <v>0.58020098427174238</v>
      </c>
      <c r="F8" s="3" t="s">
        <v>168</v>
      </c>
      <c r="G8" s="3" t="s">
        <v>175</v>
      </c>
      <c r="H8" s="6">
        <v>0.17889616442013889</v>
      </c>
      <c r="I8" s="3">
        <v>4.3</v>
      </c>
    </row>
    <row r="9" spans="1:9" x14ac:dyDescent="0.25">
      <c r="A9" s="3" t="s">
        <v>160</v>
      </c>
      <c r="B9" s="5">
        <v>45881</v>
      </c>
      <c r="C9" s="6">
        <v>0.33986077638263362</v>
      </c>
      <c r="D9" s="6">
        <v>0.44694403850411624</v>
      </c>
      <c r="F9" s="3" t="s">
        <v>165</v>
      </c>
      <c r="G9" s="3" t="s">
        <v>174</v>
      </c>
      <c r="H9" s="6">
        <v>0.10708326212152777</v>
      </c>
      <c r="I9" s="3">
        <v>2.6</v>
      </c>
    </row>
    <row r="10" spans="1:9" x14ac:dyDescent="0.25">
      <c r="A10" s="3" t="s">
        <v>156</v>
      </c>
      <c r="B10" s="5">
        <v>45901</v>
      </c>
      <c r="C10" s="6">
        <v>0.34351543228059783</v>
      </c>
      <c r="D10" s="6">
        <v>0.73198367639126238</v>
      </c>
      <c r="F10" s="3" t="s">
        <v>164</v>
      </c>
      <c r="G10" s="3" t="s">
        <v>170</v>
      </c>
      <c r="H10" s="6">
        <v>0.38846824411111114</v>
      </c>
      <c r="I10" s="3">
        <v>9.3000000000000007</v>
      </c>
    </row>
    <row r="11" spans="1:9" x14ac:dyDescent="0.25">
      <c r="A11" s="3" t="s">
        <v>158</v>
      </c>
      <c r="B11" s="5">
        <v>45879</v>
      </c>
      <c r="C11" s="6">
        <v>0.3569836418321416</v>
      </c>
      <c r="D11" s="6">
        <v>0.70829994284565978</v>
      </c>
      <c r="F11" s="3" t="s">
        <v>167</v>
      </c>
      <c r="G11" s="3" t="s">
        <v>172</v>
      </c>
      <c r="H11" s="6">
        <v>0.35131630101388889</v>
      </c>
      <c r="I11" s="3">
        <v>8.4</v>
      </c>
    </row>
    <row r="12" spans="1:9" x14ac:dyDescent="0.25">
      <c r="A12" s="3" t="s">
        <v>158</v>
      </c>
      <c r="B12" s="5">
        <v>45879</v>
      </c>
      <c r="C12" s="6">
        <v>0.41334904301590281</v>
      </c>
      <c r="D12" s="6">
        <v>0.50856071948456583</v>
      </c>
      <c r="F12" s="3" t="s">
        <v>167</v>
      </c>
      <c r="G12" s="3" t="s">
        <v>172</v>
      </c>
      <c r="H12" s="6">
        <v>9.5211676468750006E-2</v>
      </c>
      <c r="I12" s="3">
        <v>2.2999999999999998</v>
      </c>
    </row>
    <row r="13" spans="1:9" x14ac:dyDescent="0.25">
      <c r="A13" s="3" t="s">
        <v>158</v>
      </c>
      <c r="B13" s="5">
        <v>45896</v>
      </c>
      <c r="C13" s="6">
        <v>0.35066348129217162</v>
      </c>
      <c r="D13" s="6">
        <v>0.47933582281995385</v>
      </c>
      <c r="F13" s="3" t="s">
        <v>167</v>
      </c>
      <c r="G13" s="3" t="s">
        <v>172</v>
      </c>
      <c r="H13" s="6">
        <v>0.12867234152777779</v>
      </c>
      <c r="I13" s="3">
        <v>3.1</v>
      </c>
    </row>
    <row r="14" spans="1:9" x14ac:dyDescent="0.25">
      <c r="A14" s="3" t="s">
        <v>162</v>
      </c>
      <c r="B14" s="5">
        <v>45890</v>
      </c>
      <c r="C14" s="6">
        <v>0.35822662178339215</v>
      </c>
      <c r="D14" s="6">
        <v>0.62179813766534853</v>
      </c>
      <c r="F14" s="3" t="s">
        <v>169</v>
      </c>
      <c r="G14" s="3" t="s">
        <v>176</v>
      </c>
      <c r="H14" s="6">
        <v>0.26357151588194444</v>
      </c>
      <c r="I14" s="3">
        <v>6.3</v>
      </c>
    </row>
    <row r="15" spans="1:9" x14ac:dyDescent="0.25">
      <c r="A15" s="3" t="s">
        <v>156</v>
      </c>
      <c r="B15" s="5">
        <v>45908</v>
      </c>
      <c r="C15" s="6">
        <v>0.37862191177410232</v>
      </c>
      <c r="D15" s="6">
        <v>0.52786712225092325</v>
      </c>
      <c r="F15" s="3" t="s">
        <v>164</v>
      </c>
      <c r="G15" s="3" t="s">
        <v>170</v>
      </c>
      <c r="H15" s="6">
        <v>0.14924521047685185</v>
      </c>
      <c r="I15" s="3">
        <v>3.6</v>
      </c>
    </row>
    <row r="16" spans="1:9" x14ac:dyDescent="0.25">
      <c r="A16" s="3" t="s">
        <v>161</v>
      </c>
      <c r="B16" s="5">
        <v>45904</v>
      </c>
      <c r="C16" s="6">
        <v>0.33354127873935263</v>
      </c>
      <c r="D16" s="6">
        <v>0.44871671884772102</v>
      </c>
      <c r="F16" s="3" t="s">
        <v>168</v>
      </c>
      <c r="G16" s="3" t="s">
        <v>175</v>
      </c>
      <c r="H16" s="6">
        <v>0.1151754401087963</v>
      </c>
      <c r="I16" s="3">
        <v>2.8</v>
      </c>
    </row>
    <row r="17" spans="1:9" x14ac:dyDescent="0.25">
      <c r="A17" s="3" t="s">
        <v>158</v>
      </c>
      <c r="B17" s="5">
        <v>45888</v>
      </c>
      <c r="C17" s="6">
        <v>0.33609899008647154</v>
      </c>
      <c r="D17" s="6">
        <v>0.43998690625386805</v>
      </c>
      <c r="F17" s="3" t="s">
        <v>167</v>
      </c>
      <c r="G17" s="3" t="s">
        <v>172</v>
      </c>
      <c r="H17" s="6">
        <v>0.10388791616782407</v>
      </c>
      <c r="I17" s="3">
        <v>2.5</v>
      </c>
    </row>
    <row r="18" spans="1:9" x14ac:dyDescent="0.25">
      <c r="A18" s="3" t="s">
        <v>160</v>
      </c>
      <c r="B18" s="5">
        <v>45903</v>
      </c>
      <c r="C18" s="6">
        <v>0.39233264028643178</v>
      </c>
      <c r="D18" s="6">
        <v>0.6687626903569992</v>
      </c>
      <c r="F18" s="3" t="s">
        <v>165</v>
      </c>
      <c r="G18" s="3" t="s">
        <v>174</v>
      </c>
      <c r="H18" s="6">
        <v>0.27643005007060184</v>
      </c>
      <c r="I18" s="3">
        <v>6.6</v>
      </c>
    </row>
    <row r="19" spans="1:9" x14ac:dyDescent="0.25">
      <c r="A19" s="3" t="s">
        <v>161</v>
      </c>
      <c r="B19" s="5">
        <v>45906</v>
      </c>
      <c r="C19" s="6">
        <v>0.33477252515997796</v>
      </c>
      <c r="D19" s="6">
        <v>0.71970827976406015</v>
      </c>
      <c r="F19" s="3" t="s">
        <v>168</v>
      </c>
      <c r="G19" s="3" t="s">
        <v>175</v>
      </c>
      <c r="H19" s="6">
        <v>0.38493575460416668</v>
      </c>
      <c r="I19" s="3">
        <v>9.1999999999999993</v>
      </c>
    </row>
    <row r="20" spans="1:9" x14ac:dyDescent="0.25">
      <c r="A20" s="3" t="s">
        <v>161</v>
      </c>
      <c r="B20" s="5">
        <v>45894</v>
      </c>
      <c r="C20" s="6">
        <v>0.38871298375456764</v>
      </c>
      <c r="D20" s="6">
        <v>0.54561165885779428</v>
      </c>
      <c r="F20" s="3" t="s">
        <v>168</v>
      </c>
      <c r="G20" s="3" t="s">
        <v>175</v>
      </c>
      <c r="H20" s="6">
        <v>0.15689867510300926</v>
      </c>
      <c r="I20" s="3">
        <v>3.8</v>
      </c>
    </row>
    <row r="21" spans="1:9" x14ac:dyDescent="0.25">
      <c r="A21" s="3" t="s">
        <v>157</v>
      </c>
      <c r="B21" s="5">
        <v>45910</v>
      </c>
      <c r="C21" s="6">
        <v>0.397753875070122</v>
      </c>
      <c r="D21" s="6">
        <v>0.67894037476530456</v>
      </c>
      <c r="F21" s="3" t="s">
        <v>166</v>
      </c>
      <c r="G21" s="3" t="s">
        <v>171</v>
      </c>
      <c r="H21" s="6">
        <v>0.28118649969560183</v>
      </c>
      <c r="I21" s="3">
        <v>6.7</v>
      </c>
    </row>
    <row r="22" spans="1:9" x14ac:dyDescent="0.25">
      <c r="A22" s="3" t="s">
        <v>156</v>
      </c>
      <c r="B22" s="5">
        <v>45898</v>
      </c>
      <c r="C22" s="6">
        <v>0.34849283335426484</v>
      </c>
      <c r="D22" s="6">
        <v>0.45016577043820183</v>
      </c>
      <c r="F22" s="3" t="s">
        <v>164</v>
      </c>
      <c r="G22" s="3" t="s">
        <v>170</v>
      </c>
      <c r="H22" s="6">
        <v>0.10167293708449074</v>
      </c>
      <c r="I22" s="3">
        <v>2.4</v>
      </c>
    </row>
    <row r="23" spans="1:9" x14ac:dyDescent="0.25">
      <c r="A23" s="3" t="s">
        <v>162</v>
      </c>
      <c r="B23" s="5">
        <v>45901</v>
      </c>
      <c r="C23" s="6">
        <v>0.36536551123056854</v>
      </c>
      <c r="D23" s="6">
        <v>0.59635818460355272</v>
      </c>
      <c r="F23" s="3" t="s">
        <v>169</v>
      </c>
      <c r="G23" s="3" t="s">
        <v>176</v>
      </c>
      <c r="H23" s="6">
        <v>0.2309926733726852</v>
      </c>
      <c r="I23" s="3">
        <v>5.5</v>
      </c>
    </row>
    <row r="24" spans="1:9" x14ac:dyDescent="0.25">
      <c r="A24" s="3" t="s">
        <v>159</v>
      </c>
      <c r="B24" s="5">
        <v>45868</v>
      </c>
      <c r="C24" s="6">
        <v>0.4089191784253452</v>
      </c>
      <c r="D24" s="6">
        <v>0.51598570981801262</v>
      </c>
      <c r="F24" s="3" t="s">
        <v>163</v>
      </c>
      <c r="G24" s="3" t="s">
        <v>173</v>
      </c>
      <c r="H24" s="6">
        <v>0.10706653139236111</v>
      </c>
      <c r="I24" s="3">
        <v>2.6</v>
      </c>
    </row>
    <row r="25" spans="1:9" x14ac:dyDescent="0.25">
      <c r="A25" s="3" t="s">
        <v>162</v>
      </c>
      <c r="B25" s="5">
        <v>45867</v>
      </c>
      <c r="C25" s="6">
        <v>0.40744284209664261</v>
      </c>
      <c r="D25" s="6">
        <v>0.69987161654805563</v>
      </c>
      <c r="F25" s="3" t="s">
        <v>169</v>
      </c>
      <c r="G25" s="3" t="s">
        <v>176</v>
      </c>
      <c r="H25" s="6">
        <v>0.29242877445138887</v>
      </c>
      <c r="I25" s="3">
        <v>7</v>
      </c>
    </row>
    <row r="26" spans="1:9" x14ac:dyDescent="0.25">
      <c r="A26" s="3" t="s">
        <v>161</v>
      </c>
      <c r="B26" s="5">
        <v>45867</v>
      </c>
      <c r="C26" s="6">
        <v>0.38179455485830971</v>
      </c>
      <c r="D26" s="6">
        <v>0.71693278350633061</v>
      </c>
      <c r="F26" s="3" t="s">
        <v>168</v>
      </c>
      <c r="G26" s="3" t="s">
        <v>175</v>
      </c>
      <c r="H26" s="6">
        <v>0.33513822864814813</v>
      </c>
      <c r="I26" s="3">
        <v>8</v>
      </c>
    </row>
    <row r="27" spans="1:9" x14ac:dyDescent="0.25">
      <c r="A27" s="3" t="s">
        <v>157</v>
      </c>
      <c r="B27" s="5">
        <v>45869</v>
      </c>
      <c r="C27" s="6">
        <v>0.35218303864074985</v>
      </c>
      <c r="D27" s="6">
        <v>0.49258425796102134</v>
      </c>
      <c r="F27" s="3" t="s">
        <v>166</v>
      </c>
      <c r="G27" s="3" t="s">
        <v>171</v>
      </c>
      <c r="H27" s="6">
        <v>0.14040121932060184</v>
      </c>
      <c r="I27" s="3">
        <v>3.4</v>
      </c>
    </row>
    <row r="28" spans="1:9" x14ac:dyDescent="0.25">
      <c r="A28" s="3" t="s">
        <v>161</v>
      </c>
      <c r="B28" s="5">
        <v>45908</v>
      </c>
      <c r="C28" s="6">
        <v>0.34700845717784728</v>
      </c>
      <c r="D28" s="6">
        <v>0.69675754255488154</v>
      </c>
      <c r="F28" s="3" t="s">
        <v>168</v>
      </c>
      <c r="G28" s="3" t="s">
        <v>175</v>
      </c>
      <c r="H28" s="6">
        <v>0.34974908537731481</v>
      </c>
      <c r="I28" s="3">
        <v>8.4</v>
      </c>
    </row>
    <row r="29" spans="1:9" x14ac:dyDescent="0.25">
      <c r="A29" s="3" t="s">
        <v>162</v>
      </c>
      <c r="B29" s="5">
        <v>45888</v>
      </c>
      <c r="C29" s="6">
        <v>0.37433677654412056</v>
      </c>
      <c r="D29" s="6">
        <v>0.56284760801936762</v>
      </c>
      <c r="F29" s="3" t="s">
        <v>169</v>
      </c>
      <c r="G29" s="3" t="s">
        <v>176</v>
      </c>
      <c r="H29" s="6">
        <v>0.18851083147569445</v>
      </c>
      <c r="I29" s="3">
        <v>4.5</v>
      </c>
    </row>
    <row r="30" spans="1:9" x14ac:dyDescent="0.25">
      <c r="A30" s="3" t="s">
        <v>159</v>
      </c>
      <c r="B30" s="5">
        <v>45894</v>
      </c>
      <c r="C30" s="6">
        <v>0.36323107986728953</v>
      </c>
      <c r="D30" s="6">
        <v>0.74382456344093595</v>
      </c>
      <c r="F30" s="3" t="s">
        <v>163</v>
      </c>
      <c r="G30" s="3" t="s">
        <v>173</v>
      </c>
      <c r="H30" s="6">
        <v>0.38059348357407408</v>
      </c>
      <c r="I30" s="3">
        <v>9.1</v>
      </c>
    </row>
    <row r="31" spans="1:9" x14ac:dyDescent="0.25">
      <c r="A31" s="3" t="s">
        <v>162</v>
      </c>
      <c r="B31" s="5">
        <v>45910</v>
      </c>
      <c r="C31" s="6">
        <v>0.38480361669708624</v>
      </c>
      <c r="D31" s="6">
        <v>0.43619224962164654</v>
      </c>
      <c r="F31" s="3" t="s">
        <v>169</v>
      </c>
      <c r="G31" s="3" t="s">
        <v>176</v>
      </c>
      <c r="H31" s="6">
        <v>5.1388632924768515E-2</v>
      </c>
      <c r="I31" s="3">
        <v>1.2</v>
      </c>
    </row>
    <row r="32" spans="1:9" x14ac:dyDescent="0.25">
      <c r="A32" s="3" t="s">
        <v>161</v>
      </c>
      <c r="B32" s="5">
        <v>45881</v>
      </c>
      <c r="C32" s="6">
        <v>0.33481533127253577</v>
      </c>
      <c r="D32" s="6">
        <v>0.60367192964433236</v>
      </c>
      <c r="F32" s="3" t="s">
        <v>168</v>
      </c>
      <c r="G32" s="3" t="s">
        <v>175</v>
      </c>
      <c r="H32" s="6">
        <v>0.26885659837152776</v>
      </c>
      <c r="I32" s="3">
        <v>6.5</v>
      </c>
    </row>
    <row r="33" spans="1:9" x14ac:dyDescent="0.25">
      <c r="A33" s="3" t="s">
        <v>156</v>
      </c>
      <c r="B33" s="5">
        <v>45883</v>
      </c>
      <c r="C33" s="6">
        <v>0.37016739762196738</v>
      </c>
      <c r="D33" s="6">
        <v>0.72739013672382957</v>
      </c>
      <c r="F33" s="3" t="s">
        <v>164</v>
      </c>
      <c r="G33" s="3" t="s">
        <v>170</v>
      </c>
      <c r="H33" s="6">
        <v>0.35722273910185187</v>
      </c>
      <c r="I33" s="3">
        <v>8.6</v>
      </c>
    </row>
    <row r="34" spans="1:9" x14ac:dyDescent="0.25">
      <c r="A34" s="3" t="s">
        <v>160</v>
      </c>
      <c r="B34" s="5">
        <v>45905</v>
      </c>
      <c r="C34" s="6">
        <v>0.35274644931614674</v>
      </c>
      <c r="D34" s="6">
        <v>0.54491917350166696</v>
      </c>
      <c r="F34" s="3" t="s">
        <v>165</v>
      </c>
      <c r="G34" s="3" t="s">
        <v>174</v>
      </c>
      <c r="H34" s="6">
        <v>0.19217272418518519</v>
      </c>
      <c r="I34" s="3">
        <v>4.5999999999999996</v>
      </c>
    </row>
    <row r="35" spans="1:9" x14ac:dyDescent="0.25">
      <c r="A35" s="3" t="s">
        <v>158</v>
      </c>
      <c r="B35" s="5">
        <v>45870</v>
      </c>
      <c r="C35" s="6">
        <v>0.37347611416694931</v>
      </c>
      <c r="D35" s="6">
        <v>0.66005217287903406</v>
      </c>
      <c r="F35" s="3" t="s">
        <v>167</v>
      </c>
      <c r="G35" s="3" t="s">
        <v>172</v>
      </c>
      <c r="H35" s="6">
        <v>0.28657605871180558</v>
      </c>
      <c r="I35" s="3">
        <v>6.9</v>
      </c>
    </row>
    <row r="36" spans="1:9" x14ac:dyDescent="0.25">
      <c r="A36" s="3" t="s">
        <v>158</v>
      </c>
      <c r="B36" s="5">
        <v>45908</v>
      </c>
      <c r="C36" s="6">
        <v>0.40217988974271768</v>
      </c>
      <c r="D36" s="6">
        <v>0.56404930602740155</v>
      </c>
      <c r="F36" s="3" t="s">
        <v>167</v>
      </c>
      <c r="G36" s="3" t="s">
        <v>172</v>
      </c>
      <c r="H36" s="6">
        <v>0.16186941628472223</v>
      </c>
      <c r="I36" s="3">
        <v>3.9</v>
      </c>
    </row>
    <row r="37" spans="1:9" x14ac:dyDescent="0.25">
      <c r="A37" s="3" t="s">
        <v>161</v>
      </c>
      <c r="B37" s="5">
        <v>45882</v>
      </c>
      <c r="C37" s="6">
        <v>0.40523806509216825</v>
      </c>
      <c r="D37" s="6">
        <v>0.64479921954152319</v>
      </c>
      <c r="F37" s="3" t="s">
        <v>168</v>
      </c>
      <c r="G37" s="3" t="s">
        <v>175</v>
      </c>
      <c r="H37" s="6">
        <v>0.23956115444907408</v>
      </c>
      <c r="I37" s="3">
        <v>5.7</v>
      </c>
    </row>
    <row r="38" spans="1:9" x14ac:dyDescent="0.25">
      <c r="A38" s="3" t="s">
        <v>159</v>
      </c>
      <c r="B38" s="5">
        <v>45907</v>
      </c>
      <c r="C38" s="6">
        <v>0.38733412012040636</v>
      </c>
      <c r="D38" s="6">
        <v>0.7130063977823573</v>
      </c>
      <c r="F38" s="3" t="s">
        <v>163</v>
      </c>
      <c r="G38" s="3" t="s">
        <v>173</v>
      </c>
      <c r="H38" s="6">
        <v>0.32567227766203705</v>
      </c>
      <c r="I38" s="3">
        <v>7.8</v>
      </c>
    </row>
    <row r="39" spans="1:9" x14ac:dyDescent="0.25">
      <c r="A39" s="3" t="s">
        <v>156</v>
      </c>
      <c r="B39" s="5">
        <v>45869</v>
      </c>
      <c r="C39" s="6">
        <v>0.35016330038321769</v>
      </c>
      <c r="D39" s="6">
        <v>0.50109360921992829</v>
      </c>
      <c r="F39" s="3" t="s">
        <v>164</v>
      </c>
      <c r="G39" s="3" t="s">
        <v>170</v>
      </c>
      <c r="H39" s="6">
        <v>0.15093030883680555</v>
      </c>
      <c r="I39" s="3">
        <v>3.6</v>
      </c>
    </row>
    <row r="40" spans="1:9" x14ac:dyDescent="0.25">
      <c r="A40" s="3" t="s">
        <v>158</v>
      </c>
      <c r="B40" s="5">
        <v>45897</v>
      </c>
      <c r="C40" s="6">
        <v>0.35867589213507495</v>
      </c>
      <c r="D40" s="6">
        <v>0.59722793855698864</v>
      </c>
      <c r="F40" s="3" t="s">
        <v>167</v>
      </c>
      <c r="G40" s="3" t="s">
        <v>172</v>
      </c>
      <c r="H40" s="6">
        <v>0.2385520464224537</v>
      </c>
      <c r="I40" s="3">
        <v>5.7</v>
      </c>
    </row>
    <row r="41" spans="1:9" x14ac:dyDescent="0.25">
      <c r="A41" s="3" t="s">
        <v>158</v>
      </c>
      <c r="B41" s="5">
        <v>45883</v>
      </c>
      <c r="C41" s="6">
        <v>0.40471241820749498</v>
      </c>
      <c r="D41" s="6">
        <v>0.66662168838274494</v>
      </c>
      <c r="F41" s="3" t="s">
        <v>167</v>
      </c>
      <c r="G41" s="3" t="s">
        <v>172</v>
      </c>
      <c r="H41" s="6">
        <v>0.2619092701747685</v>
      </c>
      <c r="I41" s="3">
        <v>6.3</v>
      </c>
    </row>
    <row r="42" spans="1:9" x14ac:dyDescent="0.25">
      <c r="A42" s="3" t="s">
        <v>156</v>
      </c>
      <c r="B42" s="5">
        <v>45908</v>
      </c>
      <c r="C42" s="6">
        <v>0.41120403032712227</v>
      </c>
      <c r="D42" s="6">
        <v>0.55539590067974709</v>
      </c>
      <c r="F42" s="3" t="s">
        <v>164</v>
      </c>
      <c r="G42" s="3" t="s">
        <v>170</v>
      </c>
      <c r="H42" s="6">
        <v>0.14419187035300926</v>
      </c>
      <c r="I42" s="3">
        <v>3.5</v>
      </c>
    </row>
    <row r="43" spans="1:9" x14ac:dyDescent="0.25">
      <c r="A43" s="3" t="s">
        <v>158</v>
      </c>
      <c r="B43" s="5">
        <v>45875</v>
      </c>
      <c r="C43" s="6">
        <v>0.34462720233941463</v>
      </c>
      <c r="D43" s="6">
        <v>0.5798383037210656</v>
      </c>
      <c r="F43" s="3" t="s">
        <v>167</v>
      </c>
      <c r="G43" s="3" t="s">
        <v>172</v>
      </c>
      <c r="H43" s="6">
        <v>0.23521110138194445</v>
      </c>
      <c r="I43" s="3">
        <v>5.6</v>
      </c>
    </row>
    <row r="44" spans="1:9" x14ac:dyDescent="0.25">
      <c r="A44" s="3" t="s">
        <v>160</v>
      </c>
      <c r="B44" s="5">
        <v>45899</v>
      </c>
      <c r="C44" s="6">
        <v>0.37316268195140556</v>
      </c>
      <c r="D44" s="6">
        <v>0.54331959259640428</v>
      </c>
      <c r="F44" s="3" t="s">
        <v>165</v>
      </c>
      <c r="G44" s="3" t="s">
        <v>174</v>
      </c>
      <c r="H44" s="6">
        <v>0.17015691064467592</v>
      </c>
      <c r="I44" s="3">
        <v>4.0999999999999996</v>
      </c>
    </row>
    <row r="45" spans="1:9" x14ac:dyDescent="0.25">
      <c r="A45" s="3" t="s">
        <v>162</v>
      </c>
      <c r="B45" s="5">
        <v>45880</v>
      </c>
      <c r="C45" s="6">
        <v>0.33883408250906399</v>
      </c>
      <c r="D45" s="6">
        <v>0.42181955217698358</v>
      </c>
      <c r="F45" s="3" t="s">
        <v>169</v>
      </c>
      <c r="G45" s="3" t="s">
        <v>176</v>
      </c>
      <c r="H45" s="6">
        <v>8.298546966782408E-2</v>
      </c>
      <c r="I45" s="3">
        <v>2</v>
      </c>
    </row>
    <row r="46" spans="1:9" x14ac:dyDescent="0.25">
      <c r="A46" s="3" t="s">
        <v>157</v>
      </c>
      <c r="B46" s="5">
        <v>45878</v>
      </c>
      <c r="C46" s="6">
        <v>0.35403557107092748</v>
      </c>
      <c r="D46" s="6">
        <v>0.59541298660356046</v>
      </c>
      <c r="F46" s="3" t="s">
        <v>166</v>
      </c>
      <c r="G46" s="3" t="s">
        <v>171</v>
      </c>
      <c r="H46" s="6">
        <v>0.24137741553240741</v>
      </c>
      <c r="I46" s="3">
        <v>5.8</v>
      </c>
    </row>
    <row r="47" spans="1:9" x14ac:dyDescent="0.25">
      <c r="A47" s="3" t="s">
        <v>162</v>
      </c>
      <c r="B47" s="5">
        <v>45893</v>
      </c>
      <c r="C47" s="6">
        <v>0.383837405460004</v>
      </c>
      <c r="D47" s="6">
        <v>0.55587618105179348</v>
      </c>
      <c r="F47" s="3" t="s">
        <v>169</v>
      </c>
      <c r="G47" s="3" t="s">
        <v>176</v>
      </c>
      <c r="H47" s="6">
        <v>0.17203877559143518</v>
      </c>
      <c r="I47" s="3">
        <v>4.0999999999999996</v>
      </c>
    </row>
    <row r="48" spans="1:9" x14ac:dyDescent="0.25">
      <c r="A48" s="3" t="s">
        <v>162</v>
      </c>
      <c r="B48" s="5">
        <v>45909</v>
      </c>
      <c r="C48" s="6">
        <v>0.36617058246628037</v>
      </c>
      <c r="D48" s="6">
        <v>0.58515649650266832</v>
      </c>
      <c r="F48" s="3" t="s">
        <v>169</v>
      </c>
      <c r="G48" s="3" t="s">
        <v>176</v>
      </c>
      <c r="H48" s="6">
        <v>0.21898591403587964</v>
      </c>
      <c r="I48" s="3">
        <v>5.3</v>
      </c>
    </row>
    <row r="49" spans="1:9" x14ac:dyDescent="0.25">
      <c r="A49" s="3" t="s">
        <v>159</v>
      </c>
      <c r="B49" s="5">
        <v>45891</v>
      </c>
      <c r="C49" s="6">
        <v>0.34181457640950991</v>
      </c>
      <c r="D49" s="6">
        <v>0.46063055520172125</v>
      </c>
      <c r="F49" s="3" t="s">
        <v>163</v>
      </c>
      <c r="G49" s="3" t="s">
        <v>173</v>
      </c>
      <c r="H49" s="6">
        <v>0.11881597879166667</v>
      </c>
      <c r="I49" s="3">
        <v>2.9</v>
      </c>
    </row>
    <row r="50" spans="1:9" x14ac:dyDescent="0.25">
      <c r="A50" s="3" t="s">
        <v>158</v>
      </c>
      <c r="B50" s="5">
        <v>45910</v>
      </c>
      <c r="C50" s="6">
        <v>0.35655280708922299</v>
      </c>
      <c r="D50" s="6">
        <v>0.62429195245071278</v>
      </c>
      <c r="F50" s="3" t="s">
        <v>167</v>
      </c>
      <c r="G50" s="3" t="s">
        <v>172</v>
      </c>
      <c r="H50" s="6">
        <v>0.2677391453611111</v>
      </c>
      <c r="I50" s="3">
        <v>6.4</v>
      </c>
    </row>
    <row r="51" spans="1:9" x14ac:dyDescent="0.25">
      <c r="A51" s="3" t="s">
        <v>157</v>
      </c>
      <c r="B51" s="5">
        <v>45869</v>
      </c>
      <c r="C51" s="6">
        <v>0.33808608888079955</v>
      </c>
      <c r="D51" s="6">
        <v>0.49248558379200952</v>
      </c>
      <c r="F51" s="3" t="s">
        <v>166</v>
      </c>
      <c r="G51" s="3" t="s">
        <v>171</v>
      </c>
      <c r="H51" s="6">
        <v>0.15439949491087962</v>
      </c>
      <c r="I51" s="3">
        <v>3.7</v>
      </c>
    </row>
    <row r="52" spans="1:9" x14ac:dyDescent="0.25">
      <c r="A52" s="3" t="s">
        <v>156</v>
      </c>
      <c r="B52" s="5">
        <v>45870</v>
      </c>
      <c r="C52" s="6">
        <v>0.37278304042870025</v>
      </c>
      <c r="D52" s="6">
        <v>0.47908105253908961</v>
      </c>
      <c r="F52" s="3" t="s">
        <v>164</v>
      </c>
      <c r="G52" s="3" t="s">
        <v>170</v>
      </c>
      <c r="H52" s="6">
        <v>0.10629801210995371</v>
      </c>
      <c r="I52" s="3">
        <v>2.6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1"/>
  <sheetViews>
    <sheetView topLeftCell="A2" workbookViewId="0">
      <selection activeCell="F38" sqref="F38"/>
    </sheetView>
  </sheetViews>
  <sheetFormatPr defaultRowHeight="15" x14ac:dyDescent="0.25"/>
  <cols>
    <col min="2" max="2" width="19.140625" customWidth="1"/>
    <col min="3" max="3" width="18.28515625" customWidth="1"/>
    <col min="4" max="4" width="15.85546875" customWidth="1"/>
  </cols>
  <sheetData>
    <row r="1" spans="1:4" x14ac:dyDescent="0.25">
      <c r="A1" s="1" t="s">
        <v>0</v>
      </c>
      <c r="B1" s="1" t="s">
        <v>152</v>
      </c>
      <c r="C1" s="1" t="s">
        <v>154</v>
      </c>
      <c r="D1" s="1" t="s">
        <v>153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82F2F9-8755-424D-B7D5-96BE0C2DFF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Input_Data </vt:lpstr>
      <vt:lpstr>Data_Pegawai</vt:lpstr>
      <vt:lpstr>Hasil_Tugas_Optional</vt:lpstr>
      <vt:lpstr>Database Pegawai</vt:lpstr>
      <vt:lpstr>Form_Entry</vt:lpstr>
      <vt:lpstr>Laporan Kehadiran Macros</vt:lpstr>
      <vt:lpstr>PQ1</vt:lpstr>
      <vt:lpstr>Laporan</vt:lpstr>
      <vt:lpstr>tb_data_pegawai</vt:lpstr>
      <vt:lpstr>tb_database_pegawai</vt:lpstr>
      <vt:lpstr>tb_form_entry</vt:lpstr>
      <vt:lpstr>tb_input_data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G3</dc:creator>
  <cp:lastModifiedBy>Ananda Mahaputra</cp:lastModifiedBy>
  <dcterms:created xsi:type="dcterms:W3CDTF">2025-08-06T23:54:59Z</dcterms:created>
  <dcterms:modified xsi:type="dcterms:W3CDTF">2025-08-14T15:07:20Z</dcterms:modified>
</cp:coreProperties>
</file>